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m_rifat_ufl_edu/Documents/Desktop/briggsae_MA/Tables/"/>
    </mc:Choice>
  </mc:AlternateContent>
  <xr:revisionPtr revIDLastSave="44" documentId="11_3ABA573FB75FCA2730D84BFC44CFB1FCCCD29B6F" xr6:coauthVersionLast="47" xr6:coauthVersionMax="47" xr10:uidLastSave="{E892725D-66FC-4008-956E-E6BE48596D2E}"/>
  <bookViews>
    <workbookView xWindow="-110" yWindow="-110" windowWidth="19420" windowHeight="11020" firstSheet="5" activeTab="7" xr2:uid="{00000000-000D-0000-FFFF-FFFF00000000}"/>
  </bookViews>
  <sheets>
    <sheet name="B1_SNP_DP3" sheetId="1" r:id="rId1"/>
    <sheet name="B1_SNP_DP10" sheetId="2" r:id="rId2"/>
    <sheet name="B1_Indel_DP3" sheetId="3" r:id="rId3"/>
    <sheet name="B1_Indel_DP10" sheetId="4" r:id="rId4"/>
    <sheet name="B2_SNP_DP3" sheetId="5" r:id="rId5"/>
    <sheet name="B2_SNP_DP10" sheetId="6" r:id="rId6"/>
    <sheet name="B2_Indel_DP3" sheetId="7" r:id="rId7"/>
    <sheet name="B2_Indel_DP10" sheetId="8" r:id="rId8"/>
    <sheet name="LR_SNP_DP3" sheetId="9" r:id="rId9"/>
    <sheet name="LR_SNP_DP10" sheetId="10" r:id="rId10"/>
    <sheet name="LR_Indel_DP3" sheetId="11" r:id="rId11"/>
    <sheet name="LR_Indel_DP1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1" i="8" l="1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93" i="8" s="1"/>
  <c r="J3" i="8"/>
  <c r="J2" i="8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93" i="7" s="1"/>
  <c r="J5" i="7"/>
  <c r="J92" i="7" s="1"/>
  <c r="J4" i="7"/>
  <c r="J3" i="7"/>
  <c r="J2" i="7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93" i="6" s="1"/>
  <c r="J3" i="6"/>
  <c r="J2" i="6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93" i="5" s="1"/>
  <c r="J2" i="5"/>
  <c r="J91" i="4"/>
  <c r="J90" i="4"/>
  <c r="J89" i="4"/>
  <c r="J88" i="4"/>
  <c r="J87" i="4"/>
  <c r="J86" i="4"/>
  <c r="J92" i="4" s="1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93" i="4" s="1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92" i="3" s="1"/>
  <c r="J11" i="3"/>
  <c r="J10" i="3"/>
  <c r="J9" i="3"/>
  <c r="J8" i="3"/>
  <c r="J7" i="3"/>
  <c r="J6" i="3"/>
  <c r="J5" i="3"/>
  <c r="J4" i="3"/>
  <c r="J93" i="3" s="1"/>
  <c r="J3" i="3"/>
  <c r="J2" i="3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92" i="2" s="1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93" i="2" s="1"/>
  <c r="J2" i="2"/>
  <c r="J92" i="8"/>
  <c r="J92" i="6"/>
  <c r="J93" i="1"/>
  <c r="J3" i="1"/>
  <c r="J4" i="1"/>
  <c r="J5" i="1"/>
  <c r="J6" i="1"/>
  <c r="J7" i="1"/>
  <c r="J8" i="1"/>
  <c r="J92" i="1" s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2" i="1"/>
  <c r="J92" i="5" l="1"/>
</calcChain>
</file>

<file path=xl/sharedStrings.xml><?xml version="1.0" encoding="utf-8"?>
<sst xmlns="http://schemas.openxmlformats.org/spreadsheetml/2006/main" count="2172" uniqueCount="654">
  <si>
    <t>SAMPLE</t>
  </si>
  <si>
    <t>Total</t>
  </si>
  <si>
    <t>Recalled_1/1</t>
  </si>
  <si>
    <t>Het_0/1</t>
  </si>
  <si>
    <t>FN_0/0</t>
  </si>
  <si>
    <t>Missing</t>
  </si>
  <si>
    <t>Other</t>
  </si>
  <si>
    <t>Recall_rate</t>
  </si>
  <si>
    <t>FN_rate</t>
  </si>
  <si>
    <t>FTR_rate</t>
  </si>
  <si>
    <t>202_POOLRET91_S9_L001</t>
  </si>
  <si>
    <t>0.00%</t>
  </si>
  <si>
    <t>204_POOLRET91_S66_L001</t>
  </si>
  <si>
    <t>205_POOLRET91_S74_L001</t>
  </si>
  <si>
    <t>206_POOLRET91_S69_L001</t>
  </si>
  <si>
    <t>95.27%</t>
  </si>
  <si>
    <t>208_POOLRET91_S89_L001</t>
  </si>
  <si>
    <t>93.54%</t>
  </si>
  <si>
    <t>209_POOLRET91_S92_L001</t>
  </si>
  <si>
    <t>212_POOLRET91_S55_L001</t>
  </si>
  <si>
    <t>217_POOLRET91_S67_L001</t>
  </si>
  <si>
    <t>219_POOLRET91_S49_L001</t>
  </si>
  <si>
    <t>228_POOLRET91_S90_L001</t>
  </si>
  <si>
    <t>232_POOLRET91_S2_L001</t>
  </si>
  <si>
    <t>235_POOLRET91_S81_L001</t>
  </si>
  <si>
    <t>95.18%</t>
  </si>
  <si>
    <t>236_POOLRET91_S35_L001</t>
  </si>
  <si>
    <t>94.99%</t>
  </si>
  <si>
    <t>237_POOLRET91_S26_L001</t>
  </si>
  <si>
    <t>244_POOLRET91_S85_L001</t>
  </si>
  <si>
    <t>250_POOLRET91_S65_L001</t>
  </si>
  <si>
    <t>252_POOLRET91_S32_L001</t>
  </si>
  <si>
    <t>254_POOLRET91_S72_L001</t>
  </si>
  <si>
    <t>255_POOLRET91_S16_L001</t>
  </si>
  <si>
    <t>258_POOLRET91_S43_L001</t>
  </si>
  <si>
    <t>262_POOLRET91_S56_L001</t>
  </si>
  <si>
    <t>263_POOLRET91_S82_L001</t>
  </si>
  <si>
    <t>264_POOLRET91_S83_L001</t>
  </si>
  <si>
    <t>265_POOLRET91_S21_L001</t>
  </si>
  <si>
    <t>269_POOLRET91_S8_L001</t>
  </si>
  <si>
    <t>271_POOLRET91_S62_L001</t>
  </si>
  <si>
    <t>272_POOLRET91_S38_L001</t>
  </si>
  <si>
    <t>278_POOLRET91_S53_L001</t>
  </si>
  <si>
    <t>281_POOLRET91_S71_L001</t>
  </si>
  <si>
    <t>284_POOLRET91_S88_L001</t>
  </si>
  <si>
    <t>286_POOLRET91_S63_L001</t>
  </si>
  <si>
    <t>287_POOLRET91_S86_L001</t>
  </si>
  <si>
    <t>290_POOLRET91_S51_L001</t>
  </si>
  <si>
    <t>298_POOLRET91_S37_L001</t>
  </si>
  <si>
    <t>300_POOLRET91_S22_L001</t>
  </si>
  <si>
    <t>302_POOLRET91_S1_L001</t>
  </si>
  <si>
    <t>303_POOLRET91_S5_L001</t>
  </si>
  <si>
    <t>306_POOLRET91_S27_L001</t>
  </si>
  <si>
    <t>94.02%</t>
  </si>
  <si>
    <t>308_POOLRET91_S84_L001</t>
  </si>
  <si>
    <t>310_POOLRET91_S61_L001</t>
  </si>
  <si>
    <t>311_POOLRET91_S87_L001</t>
  </si>
  <si>
    <t>93.83%</t>
  </si>
  <si>
    <t>312_POOLRET91_S3_L001</t>
  </si>
  <si>
    <t>313_POOLRET91_S34_L001</t>
  </si>
  <si>
    <t>314_POOLRET91_S11_L001</t>
  </si>
  <si>
    <t>315_POOLRET91_S6_L001</t>
  </si>
  <si>
    <t>316_POOLRET91_S25_L001</t>
  </si>
  <si>
    <t>319_POOLRET91_S40_L001</t>
  </si>
  <si>
    <t>320_POOLRET91_S60_L001</t>
  </si>
  <si>
    <t>323_POOLRET91_S50_L001</t>
  </si>
  <si>
    <t>325_POOLRET91_S54_L001</t>
  </si>
  <si>
    <t>329_POOLRET91_S76_L001</t>
  </si>
  <si>
    <t>331_POOLRET91_S30_L001</t>
  </si>
  <si>
    <t>334_POOLRET91_S75_L001</t>
  </si>
  <si>
    <t>0.10%</t>
  </si>
  <si>
    <t>336_POOLRET91_S95_L001</t>
  </si>
  <si>
    <t>337_POOLRET91_S77_L001</t>
  </si>
  <si>
    <t>343_POOLRET91_S58_L001</t>
  </si>
  <si>
    <t>345_POOLRET91_S4_L001</t>
  </si>
  <si>
    <t>346_POOLRET91_S10_L001</t>
  </si>
  <si>
    <t>347_POOLRET91_S52_L001</t>
  </si>
  <si>
    <t>349_POOLRET91_S14_L001</t>
  </si>
  <si>
    <t>350_POOLRET91_S7_L001</t>
  </si>
  <si>
    <t>354_POOLRET91_S41_L001</t>
  </si>
  <si>
    <t>355_POOLRET91_S96_L001</t>
  </si>
  <si>
    <t>94.41%</t>
  </si>
  <si>
    <t>357_POOLRET91_S93_L001</t>
  </si>
  <si>
    <t>358_POOLRET91_S44_L001</t>
  </si>
  <si>
    <t>93.92%</t>
  </si>
  <si>
    <t>363_POOLRET91_S20_L001</t>
  </si>
  <si>
    <t>365_POOLRET91_S19_L001</t>
  </si>
  <si>
    <t>366_POOLRET91_S42_L001</t>
  </si>
  <si>
    <t>367_POOLRET91_S68_L001</t>
  </si>
  <si>
    <t>368_POOLRET91_S33_L001</t>
  </si>
  <si>
    <t>370_POOLRET91_S47_L001</t>
  </si>
  <si>
    <t>94.31%</t>
  </si>
  <si>
    <t>371_POOLRET91_S24_L001</t>
  </si>
  <si>
    <t>373_POOLRET91_S13_L001</t>
  </si>
  <si>
    <t>374_POOLRET91_S48_L001</t>
  </si>
  <si>
    <t>377_POOLRET91_S73_L001</t>
  </si>
  <si>
    <t>379_POOLRET91_S94_L001</t>
  </si>
  <si>
    <t>380_POOLRET91_S23_L001</t>
  </si>
  <si>
    <t>381_POOLRET91_S91_L001</t>
  </si>
  <si>
    <t>383_POOLRET91_S39_L001</t>
  </si>
  <si>
    <t>384_POOLRET91_S31_L001</t>
  </si>
  <si>
    <t>385_POOLRET91_S29_L001</t>
  </si>
  <si>
    <t>386_POOLRET91_S46_L001</t>
  </si>
  <si>
    <t>387_POOLRET91_S57_L001</t>
  </si>
  <si>
    <t>388_POOLRET91_S78_L001</t>
  </si>
  <si>
    <t>390_POOLRET91_S28_L001</t>
  </si>
  <si>
    <t>391_POOLRET91_S79_L001</t>
  </si>
  <si>
    <t>392_POOLRET91_S64_L001</t>
  </si>
  <si>
    <t>394_POOLRET91_S36_L001</t>
  </si>
  <si>
    <t>395_POOLRET91_S45_L001</t>
  </si>
  <si>
    <t>396_POOLRET91_S17_L001</t>
  </si>
  <si>
    <t>96.92%</t>
  </si>
  <si>
    <t>88.07%</t>
  </si>
  <si>
    <t>86.08%</t>
  </si>
  <si>
    <t>93.44%</t>
  </si>
  <si>
    <t>85.09%</t>
  </si>
  <si>
    <t>87.97%</t>
  </si>
  <si>
    <t>88.57%</t>
  </si>
  <si>
    <t>87.28%</t>
  </si>
  <si>
    <t>86.58%</t>
  </si>
  <si>
    <t>60.93%</t>
  </si>
  <si>
    <t>82.70%</t>
  </si>
  <si>
    <t>92.84%</t>
  </si>
  <si>
    <t>92.45%</t>
  </si>
  <si>
    <t>89.76%</t>
  </si>
  <si>
    <t>90.26%</t>
  </si>
  <si>
    <t>94.53%</t>
  </si>
  <si>
    <t>94.04%</t>
  </si>
  <si>
    <t>92.74%</t>
  </si>
  <si>
    <t>91.75%</t>
  </si>
  <si>
    <t>90.76%</t>
  </si>
  <si>
    <t>92.64%</t>
  </si>
  <si>
    <t>93.64%</t>
  </si>
  <si>
    <t>84.89%</t>
  </si>
  <si>
    <t>70.48%</t>
  </si>
  <si>
    <t>91.15%</t>
  </si>
  <si>
    <t>91.95%</t>
  </si>
  <si>
    <t>91.65%</t>
  </si>
  <si>
    <t>94.33%</t>
  </si>
  <si>
    <t>88.97%</t>
  </si>
  <si>
    <t>71.87%</t>
  </si>
  <si>
    <t>93.24%</t>
  </si>
  <si>
    <t>85.79%</t>
  </si>
  <si>
    <t>94.23%</t>
  </si>
  <si>
    <t>78.43%</t>
  </si>
  <si>
    <t>93.94%</t>
  </si>
  <si>
    <t>88.47%</t>
  </si>
  <si>
    <t>85.98%</t>
  </si>
  <si>
    <t>83.50%</t>
  </si>
  <si>
    <t>91.35%</t>
  </si>
  <si>
    <t>94.93%</t>
  </si>
  <si>
    <t>92.15%</t>
  </si>
  <si>
    <t>60.74%</t>
  </si>
  <si>
    <t>95.03%</t>
  </si>
  <si>
    <t>93.74%</t>
  </si>
  <si>
    <t>86.78%</t>
  </si>
  <si>
    <t>85.19%</t>
  </si>
  <si>
    <t>89.86%</t>
  </si>
  <si>
    <t>82.60%</t>
  </si>
  <si>
    <t>91.05%</t>
  </si>
  <si>
    <t>81.31%</t>
  </si>
  <si>
    <t>88.87%</t>
  </si>
  <si>
    <t>90.66%</t>
  </si>
  <si>
    <t>86.38%</t>
  </si>
  <si>
    <t>89.07%</t>
  </si>
  <si>
    <t>83.10%</t>
  </si>
  <si>
    <t>94.83%</t>
  </si>
  <si>
    <t>93.14%</t>
  </si>
  <si>
    <t>81.11%</t>
  </si>
  <si>
    <t>88.77%</t>
  </si>
  <si>
    <t>86.88%</t>
  </si>
  <si>
    <t>76.64%</t>
  </si>
  <si>
    <t>92.94%</t>
  </si>
  <si>
    <t>95.13%</t>
  </si>
  <si>
    <t>91.25%</t>
  </si>
  <si>
    <t>95.73%</t>
  </si>
  <si>
    <t>92.05%</t>
  </si>
  <si>
    <t>89.66%</t>
  </si>
  <si>
    <t>83.40%</t>
  </si>
  <si>
    <t>86.98%</t>
  </si>
  <si>
    <t>80.91%</t>
  </si>
  <si>
    <t>96.39%</t>
  </si>
  <si>
    <t>0.72%</t>
  </si>
  <si>
    <t>94.73%</t>
  </si>
  <si>
    <t>0.54%</t>
  </si>
  <si>
    <t>94.59%</t>
  </si>
  <si>
    <t>0.58%</t>
  </si>
  <si>
    <t>95.10%</t>
  </si>
  <si>
    <t>0.53%</t>
  </si>
  <si>
    <t>94.15%</t>
  </si>
  <si>
    <t>0.57%</t>
  </si>
  <si>
    <t>94.42%</t>
  </si>
  <si>
    <t>0.61%</t>
  </si>
  <si>
    <t>94.84%</t>
  </si>
  <si>
    <t>94.58%</t>
  </si>
  <si>
    <t>94.01%</t>
  </si>
  <si>
    <t>0.60%</t>
  </si>
  <si>
    <t>91.70%</t>
  </si>
  <si>
    <t>0.46%</t>
  </si>
  <si>
    <t>93.99%</t>
  </si>
  <si>
    <t>94.62%</t>
  </si>
  <si>
    <t>0.55%</t>
  </si>
  <si>
    <t>94.45%</t>
  </si>
  <si>
    <t>94.80%</t>
  </si>
  <si>
    <t>95.42%</t>
  </si>
  <si>
    <t>95.21%</t>
  </si>
  <si>
    <t>0.62%</t>
  </si>
  <si>
    <t>95.45%</t>
  </si>
  <si>
    <t>94.96%</t>
  </si>
  <si>
    <t>95.31%</t>
  </si>
  <si>
    <t>95.39%</t>
  </si>
  <si>
    <t>94.16%</t>
  </si>
  <si>
    <t>95.24%</t>
  </si>
  <si>
    <t>94.95%</t>
  </si>
  <si>
    <t>0.64%</t>
  </si>
  <si>
    <t>93.25%</t>
  </si>
  <si>
    <t>95.11%</t>
  </si>
  <si>
    <t>94.81%</t>
  </si>
  <si>
    <t>94.78%</t>
  </si>
  <si>
    <t>95.74%</t>
  </si>
  <si>
    <t>94.63%</t>
  </si>
  <si>
    <t>92.67%</t>
  </si>
  <si>
    <t>94.08%</t>
  </si>
  <si>
    <t>94.35%</t>
  </si>
  <si>
    <t>95.52%</t>
  </si>
  <si>
    <t>93.30%</t>
  </si>
  <si>
    <t>0.51%</t>
  </si>
  <si>
    <t>95.20%</t>
  </si>
  <si>
    <t>94.44%</t>
  </si>
  <si>
    <t>0.50%</t>
  </si>
  <si>
    <t>94.38%</t>
  </si>
  <si>
    <t>93.72%</t>
  </si>
  <si>
    <t>95.36%</t>
  </si>
  <si>
    <t>95.06%</t>
  </si>
  <si>
    <t>91.49%</t>
  </si>
  <si>
    <t>95.00%</t>
  </si>
  <si>
    <t>0.48%</t>
  </si>
  <si>
    <t>95.32%</t>
  </si>
  <si>
    <t>95.05%</t>
  </si>
  <si>
    <t>95.14%</t>
  </si>
  <si>
    <t>94.74%</t>
  </si>
  <si>
    <t>94.85%</t>
  </si>
  <si>
    <t>94.09%</t>
  </si>
  <si>
    <t>94.51%</t>
  </si>
  <si>
    <t>93.90%</t>
  </si>
  <si>
    <t>94.19%</t>
  </si>
  <si>
    <t>94.77%</t>
  </si>
  <si>
    <t>94.30%</t>
  </si>
  <si>
    <t>94.87%</t>
  </si>
  <si>
    <t>0.65%</t>
  </si>
  <si>
    <t>93.51%</t>
  </si>
  <si>
    <t>95.49%</t>
  </si>
  <si>
    <t>94.46%</t>
  </si>
  <si>
    <t>93.65%</t>
  </si>
  <si>
    <t>96.51%</t>
  </si>
  <si>
    <t>0.47%</t>
  </si>
  <si>
    <t>85.40%</t>
  </si>
  <si>
    <t>0.33%</t>
  </si>
  <si>
    <t>0.34%</t>
  </si>
  <si>
    <t>91.67%</t>
  </si>
  <si>
    <t>0.31%</t>
  </si>
  <si>
    <t>85.20%</t>
  </si>
  <si>
    <t>85.59%</t>
  </si>
  <si>
    <t>0.27%</t>
  </si>
  <si>
    <t>87.03%</t>
  </si>
  <si>
    <t>0.37%</t>
  </si>
  <si>
    <t>85.26%</t>
  </si>
  <si>
    <t>0.29%</t>
  </si>
  <si>
    <t>83.30%</t>
  </si>
  <si>
    <t>0.36%</t>
  </si>
  <si>
    <t>56.94%</t>
  </si>
  <si>
    <t>0.20%</t>
  </si>
  <si>
    <t>79.85%</t>
  </si>
  <si>
    <t>0.26%</t>
  </si>
  <si>
    <t>91.94%</t>
  </si>
  <si>
    <t>90.72%</t>
  </si>
  <si>
    <t>85.10%</t>
  </si>
  <si>
    <t>88.10%</t>
  </si>
  <si>
    <t>0.38%</t>
  </si>
  <si>
    <t>92.76%</t>
  </si>
  <si>
    <t>0.40%</t>
  </si>
  <si>
    <t>90.93%</t>
  </si>
  <si>
    <t>89.36%</t>
  </si>
  <si>
    <t>89.52%</t>
  </si>
  <si>
    <t>91.22%</t>
  </si>
  <si>
    <t>92.91%</t>
  </si>
  <si>
    <t>0.41%</t>
  </si>
  <si>
    <t>81.72%</t>
  </si>
  <si>
    <t>92.27%</t>
  </si>
  <si>
    <t>90.13%</t>
  </si>
  <si>
    <t>91.79%</t>
  </si>
  <si>
    <t>67.94%</t>
  </si>
  <si>
    <t>0.16%</t>
  </si>
  <si>
    <t>89.88%</t>
  </si>
  <si>
    <t>89.56%</t>
  </si>
  <si>
    <t>90.68%</t>
  </si>
  <si>
    <t>89.18%</t>
  </si>
  <si>
    <t>94.24%</t>
  </si>
  <si>
    <t>87.54%</t>
  </si>
  <si>
    <t>67.21%</t>
  </si>
  <si>
    <t>0.24%</t>
  </si>
  <si>
    <t>90.23%</t>
  </si>
  <si>
    <t>83.19%</t>
  </si>
  <si>
    <t>89.26%</t>
  </si>
  <si>
    <t>91.59%</t>
  </si>
  <si>
    <t>75.16%</t>
  </si>
  <si>
    <t>92.79%</t>
  </si>
  <si>
    <t>86.91%</t>
  </si>
  <si>
    <t>0.30%</t>
  </si>
  <si>
    <t>88.48%</t>
  </si>
  <si>
    <t>81.65%</t>
  </si>
  <si>
    <t>79.97%</t>
  </si>
  <si>
    <t>89.44%</t>
  </si>
  <si>
    <t>93.67%</t>
  </si>
  <si>
    <t>55.66%</t>
  </si>
  <si>
    <t>0.23%</t>
  </si>
  <si>
    <t>91.40%</t>
  </si>
  <si>
    <t>92.96%</t>
  </si>
  <si>
    <t>86.07%</t>
  </si>
  <si>
    <t>84.69%</t>
  </si>
  <si>
    <t>93.37%</t>
  </si>
  <si>
    <t>87.72%</t>
  </si>
  <si>
    <t>79.37%</t>
  </si>
  <si>
    <t>88.89%</t>
  </si>
  <si>
    <t>79.47%</t>
  </si>
  <si>
    <t>86.24%</t>
  </si>
  <si>
    <t>89.29%</t>
  </si>
  <si>
    <t>87.27%</t>
  </si>
  <si>
    <t>86.60%</t>
  </si>
  <si>
    <t>90.62%</t>
  </si>
  <si>
    <t>85.33%</t>
  </si>
  <si>
    <t>85.89%</t>
  </si>
  <si>
    <t>91.80%</t>
  </si>
  <si>
    <t>81.47%</t>
  </si>
  <si>
    <t>85.97%</t>
  </si>
  <si>
    <t>93.28%</t>
  </si>
  <si>
    <t>91.50%</t>
  </si>
  <si>
    <t>92.57%</t>
  </si>
  <si>
    <t>76.28%</t>
  </si>
  <si>
    <t>87.45%</t>
  </si>
  <si>
    <t>88.45%</t>
  </si>
  <si>
    <t>82.72%</t>
  </si>
  <si>
    <t>73.31%</t>
  </si>
  <si>
    <t>91.09%</t>
  </si>
  <si>
    <t>93.66%</t>
  </si>
  <si>
    <t>90.35%</t>
  </si>
  <si>
    <t>95.28%</t>
  </si>
  <si>
    <t>0.43%</t>
  </si>
  <si>
    <t>90.89%</t>
  </si>
  <si>
    <t>87.24%</t>
  </si>
  <si>
    <t>80.92%</t>
  </si>
  <si>
    <t>82.35%</t>
  </si>
  <si>
    <t>78.84%</t>
  </si>
  <si>
    <t>89.81%</t>
  </si>
  <si>
    <t>202_POOLRET91_S9_L002</t>
  </si>
  <si>
    <t>96.19%</t>
  </si>
  <si>
    <t>204_POOLRET91_S66_L002</t>
  </si>
  <si>
    <t>205_POOLRET91_S74_L002</t>
  </si>
  <si>
    <t>206_POOLRET91_S69_L002</t>
  </si>
  <si>
    <t>208_POOLRET91_S89_L002</t>
  </si>
  <si>
    <t>93.71%</t>
  </si>
  <si>
    <t>209_POOLRET91_S92_L002</t>
  </si>
  <si>
    <t>94.76%</t>
  </si>
  <si>
    <t>212_POOLRET91_S55_L002</t>
  </si>
  <si>
    <t>95.33%</t>
  </si>
  <si>
    <t>217_POOLRET91_S67_L002</t>
  </si>
  <si>
    <t>219_POOLRET91_S49_L002</t>
  </si>
  <si>
    <t>93.80%</t>
  </si>
  <si>
    <t>228_POOLRET91_S90_L002</t>
  </si>
  <si>
    <t>91.71%</t>
  </si>
  <si>
    <t>232_POOLRET91_S2_L002</t>
  </si>
  <si>
    <t>94.28%</t>
  </si>
  <si>
    <t>235_POOLRET91_S81_L002</t>
  </si>
  <si>
    <t>96.28%</t>
  </si>
  <si>
    <t>236_POOLRET91_S35_L002</t>
  </si>
  <si>
    <t>94.57%</t>
  </si>
  <si>
    <t>237_POOLRET91_S26_L002</t>
  </si>
  <si>
    <t>244_POOLRET91_S85_L002</t>
  </si>
  <si>
    <t>94.47%</t>
  </si>
  <si>
    <t>250_POOLRET91_S65_L002</t>
  </si>
  <si>
    <t>252_POOLRET91_S32_L002</t>
  </si>
  <si>
    <t>254_POOLRET91_S72_L002</t>
  </si>
  <si>
    <t>255_POOLRET91_S16_L002</t>
  </si>
  <si>
    <t>258_POOLRET91_S43_L002</t>
  </si>
  <si>
    <t>262_POOLRET91_S56_L002</t>
  </si>
  <si>
    <t>263_POOLRET91_S82_L002</t>
  </si>
  <si>
    <t>95.61%</t>
  </si>
  <si>
    <t>264_POOLRET91_S83_L002</t>
  </si>
  <si>
    <t>265_POOLRET91_S21_L002</t>
  </si>
  <si>
    <t>95.81%</t>
  </si>
  <si>
    <t>269_POOLRET91_S8_L002</t>
  </si>
  <si>
    <t>271_POOLRET91_S62_L002</t>
  </si>
  <si>
    <t>272_POOLRET91_S38_L002</t>
  </si>
  <si>
    <t>94.66%</t>
  </si>
  <si>
    <t>278_POOLRET91_S53_L002</t>
  </si>
  <si>
    <t>281_POOLRET91_S71_L002</t>
  </si>
  <si>
    <t>284_POOLRET91_S88_L002</t>
  </si>
  <si>
    <t>286_POOLRET91_S63_L002</t>
  </si>
  <si>
    <t>287_POOLRET91_S86_L002</t>
  </si>
  <si>
    <t>290_POOLRET91_S51_L002</t>
  </si>
  <si>
    <t>298_POOLRET91_S37_L002</t>
  </si>
  <si>
    <t>300_POOLRET91_S22_L002</t>
  </si>
  <si>
    <t>93.33%</t>
  </si>
  <si>
    <t>302_POOLRET91_S1_L002</t>
  </si>
  <si>
    <t>303_POOLRET91_S5_L002</t>
  </si>
  <si>
    <t>306_POOLRET91_S27_L002</t>
  </si>
  <si>
    <t>308_POOLRET91_S84_L002</t>
  </si>
  <si>
    <t>96.57%</t>
  </si>
  <si>
    <t>310_POOLRET91_S61_L002</t>
  </si>
  <si>
    <t>311_POOLRET91_S87_L002</t>
  </si>
  <si>
    <t>93.42%</t>
  </si>
  <si>
    <t>312_POOLRET91_S3_L002</t>
  </si>
  <si>
    <t>313_POOLRET91_S34_L002</t>
  </si>
  <si>
    <t>314_POOLRET91_S11_L002</t>
  </si>
  <si>
    <t>315_POOLRET91_S6_L002</t>
  </si>
  <si>
    <t>316_POOLRET91_S25_L002</t>
  </si>
  <si>
    <t>319_POOLRET91_S40_L002</t>
  </si>
  <si>
    <t>320_POOLRET91_S60_L002</t>
  </si>
  <si>
    <t>96.00%</t>
  </si>
  <si>
    <t>323_POOLRET91_S50_L002</t>
  </si>
  <si>
    <t>325_POOLRET91_S54_L002</t>
  </si>
  <si>
    <t>92.95%</t>
  </si>
  <si>
    <t>329_POOLRET91_S76_L002</t>
  </si>
  <si>
    <t>331_POOLRET91_S30_L002</t>
  </si>
  <si>
    <t>334_POOLRET91_S75_L002</t>
  </si>
  <si>
    <t>95.71%</t>
  </si>
  <si>
    <t>336_POOLRET91_S95_L002</t>
  </si>
  <si>
    <t>94.18%</t>
  </si>
  <si>
    <t>337_POOLRET91_S77_L002</t>
  </si>
  <si>
    <t>343_POOLRET91_S58_L002</t>
  </si>
  <si>
    <t>345_POOLRET91_S4_L002</t>
  </si>
  <si>
    <t>346_POOLRET91_S10_L002</t>
  </si>
  <si>
    <t>347_POOLRET91_S52_L002</t>
  </si>
  <si>
    <t>349_POOLRET91_S14_L002</t>
  </si>
  <si>
    <t>350_POOLRET91_S7_L002</t>
  </si>
  <si>
    <t>354_POOLRET91_S41_L002</t>
  </si>
  <si>
    <t>355_POOLRET91_S96_L002</t>
  </si>
  <si>
    <t>357_POOLRET91_S93_L002</t>
  </si>
  <si>
    <t>358_POOLRET91_S44_L002</t>
  </si>
  <si>
    <t>363_POOLRET91_S20_L002</t>
  </si>
  <si>
    <t>365_POOLRET91_S19_L002</t>
  </si>
  <si>
    <t>366_POOLRET91_S42_L002</t>
  </si>
  <si>
    <t>95.04%</t>
  </si>
  <si>
    <t>367_POOLRET91_S68_L002</t>
  </si>
  <si>
    <t>368_POOLRET91_S33_L002</t>
  </si>
  <si>
    <t>370_POOLRET91_S47_L002</t>
  </si>
  <si>
    <t>371_POOLRET91_S24_L002</t>
  </si>
  <si>
    <t>373_POOLRET91_S13_L002</t>
  </si>
  <si>
    <t>374_POOLRET91_S48_L002</t>
  </si>
  <si>
    <t>377_POOLRET91_S73_L002</t>
  </si>
  <si>
    <t>379_POOLRET91_S94_L002</t>
  </si>
  <si>
    <t>380_POOLRET91_S23_L002</t>
  </si>
  <si>
    <t>381_POOLRET91_S91_L002</t>
  </si>
  <si>
    <t>383_POOLRET91_S39_L002</t>
  </si>
  <si>
    <t>384_POOLRET91_S31_L002</t>
  </si>
  <si>
    <t>385_POOLRET91_S29_L002</t>
  </si>
  <si>
    <t>386_POOLRET91_S46_L002</t>
  </si>
  <si>
    <t>387_POOLRET91_S57_L002</t>
  </si>
  <si>
    <t>388_POOLRET91_S78_L002</t>
  </si>
  <si>
    <t>96.09%</t>
  </si>
  <si>
    <t>390_POOLRET91_S28_L002</t>
  </si>
  <si>
    <t>391_POOLRET91_S79_L002</t>
  </si>
  <si>
    <t>392_POOLRET91_S64_L002</t>
  </si>
  <si>
    <t>394_POOLRET91_S36_L002</t>
  </si>
  <si>
    <t>395_POOLRET91_S45_L002</t>
  </si>
  <si>
    <t>396_POOLRET91_S17_L002</t>
  </si>
  <si>
    <t>97.04%</t>
  </si>
  <si>
    <t>86.70%</t>
  </si>
  <si>
    <t>84.04%</t>
  </si>
  <si>
    <t>93.00%</t>
  </si>
  <si>
    <t>87.29%</t>
  </si>
  <si>
    <t>87.98%</t>
  </si>
  <si>
    <t>84.83%</t>
  </si>
  <si>
    <t>56.45%</t>
  </si>
  <si>
    <t>82.46%</t>
  </si>
  <si>
    <t>93.50%</t>
  </si>
  <si>
    <t>91.03%</t>
  </si>
  <si>
    <t>89.75%</t>
  </si>
  <si>
    <t>95.07%</t>
  </si>
  <si>
    <t>92.51%</t>
  </si>
  <si>
    <t>90.34%</t>
  </si>
  <si>
    <t>90.15%</t>
  </si>
  <si>
    <t>82.86%</t>
  </si>
  <si>
    <t>93.10%</t>
  </si>
  <si>
    <t>90.94%</t>
  </si>
  <si>
    <t>91.63%</t>
  </si>
  <si>
    <t>92.71%</t>
  </si>
  <si>
    <t>69.16%</t>
  </si>
  <si>
    <t>89.85%</t>
  </si>
  <si>
    <t>91.23%</t>
  </si>
  <si>
    <t>95.17%</t>
  </si>
  <si>
    <t>69.56%</t>
  </si>
  <si>
    <t>85.62%</t>
  </si>
  <si>
    <t>90.44%</t>
  </si>
  <si>
    <t>94.98%</t>
  </si>
  <si>
    <t>92.22%</t>
  </si>
  <si>
    <t>75.86%</t>
  </si>
  <si>
    <t>93.69%</t>
  </si>
  <si>
    <t>87.88%</t>
  </si>
  <si>
    <t>81.67%</t>
  </si>
  <si>
    <t>81.28%</t>
  </si>
  <si>
    <t>94.48%</t>
  </si>
  <si>
    <t>60.69%</t>
  </si>
  <si>
    <t>95.76%</t>
  </si>
  <si>
    <t>93.60%</t>
  </si>
  <si>
    <t>83.15%</t>
  </si>
  <si>
    <t>94.88%</t>
  </si>
  <si>
    <t>80.00%</t>
  </si>
  <si>
    <t>82.07%</t>
  </si>
  <si>
    <t>89.06%</t>
  </si>
  <si>
    <t>87.59%</t>
  </si>
  <si>
    <t>92.02%</t>
  </si>
  <si>
    <t>86.21%</t>
  </si>
  <si>
    <t>92.61%</t>
  </si>
  <si>
    <t>81.38%</t>
  </si>
  <si>
    <t>87.78%</t>
  </si>
  <si>
    <t>91.92%</t>
  </si>
  <si>
    <t>94.29%</t>
  </si>
  <si>
    <t>78.42%</t>
  </si>
  <si>
    <t>87.68%</t>
  </si>
  <si>
    <t>89.16%</t>
  </si>
  <si>
    <t>84.53%</t>
  </si>
  <si>
    <t>71.43%</t>
  </si>
  <si>
    <t>91.43%</t>
  </si>
  <si>
    <t>96.26%</t>
  </si>
  <si>
    <t>90.84%</t>
  </si>
  <si>
    <t>83.55%</t>
  </si>
  <si>
    <t>79.90%</t>
  </si>
  <si>
    <t>92.32%</t>
  </si>
  <si>
    <t>96.16%</t>
  </si>
  <si>
    <t>94.10%</t>
  </si>
  <si>
    <t>94.91%</t>
  </si>
  <si>
    <t>0.49%</t>
  </si>
  <si>
    <t>94.22%</t>
  </si>
  <si>
    <t>93.78%</t>
  </si>
  <si>
    <t>91.27%</t>
  </si>
  <si>
    <t>94.13%</t>
  </si>
  <si>
    <t>0.56%</t>
  </si>
  <si>
    <t>95.09%</t>
  </si>
  <si>
    <t>94.61%</t>
  </si>
  <si>
    <t>95.48%</t>
  </si>
  <si>
    <t>94.92%</t>
  </si>
  <si>
    <t>95.02%</t>
  </si>
  <si>
    <t>93.20%</t>
  </si>
  <si>
    <t>94.52%</t>
  </si>
  <si>
    <t>94.69%</t>
  </si>
  <si>
    <t>94.54%</t>
  </si>
  <si>
    <t>92.60%</t>
  </si>
  <si>
    <t>93.16%</t>
  </si>
  <si>
    <t>95.26%</t>
  </si>
  <si>
    <t>91.60%</t>
  </si>
  <si>
    <t>95.23%</t>
  </si>
  <si>
    <t>94.34%</t>
  </si>
  <si>
    <t>94.67%</t>
  </si>
  <si>
    <t>0.63%</t>
  </si>
  <si>
    <t>95.01%</t>
  </si>
  <si>
    <t>94.97%</t>
  </si>
  <si>
    <t>92.89%</t>
  </si>
  <si>
    <t>95.41%</t>
  </si>
  <si>
    <t>94.55%</t>
  </si>
  <si>
    <t>93.84%</t>
  </si>
  <si>
    <t>93.63%</t>
  </si>
  <si>
    <t>96.46%</t>
  </si>
  <si>
    <t>82.39%</t>
  </si>
  <si>
    <t>91.29%</t>
  </si>
  <si>
    <t>84.13%</t>
  </si>
  <si>
    <t>0.32%</t>
  </si>
  <si>
    <t>85.35%</t>
  </si>
  <si>
    <t>85.73%</t>
  </si>
  <si>
    <t>84.85%</t>
  </si>
  <si>
    <t>54.13%</t>
  </si>
  <si>
    <t>78.80%</t>
  </si>
  <si>
    <t>91.32%</t>
  </si>
  <si>
    <t>89.54%</t>
  </si>
  <si>
    <t>84.01%</t>
  </si>
  <si>
    <t>0.39%</t>
  </si>
  <si>
    <t>92.87%</t>
  </si>
  <si>
    <t>90.10%</t>
  </si>
  <si>
    <t>88.69%</t>
  </si>
  <si>
    <t>88.76%</t>
  </si>
  <si>
    <t>90.97%</t>
  </si>
  <si>
    <t>0.42%</t>
  </si>
  <si>
    <t>92.72%</t>
  </si>
  <si>
    <t>81.00%</t>
  </si>
  <si>
    <t>91.66%</t>
  </si>
  <si>
    <t>65.83%</t>
  </si>
  <si>
    <t>88.38%</t>
  </si>
  <si>
    <t>89.42%</t>
  </si>
  <si>
    <t>89.31%</t>
  </si>
  <si>
    <t>87.61%</t>
  </si>
  <si>
    <t>86.01%</t>
  </si>
  <si>
    <t>65.27%</t>
  </si>
  <si>
    <t>0.22%</t>
  </si>
  <si>
    <t>89.48%</t>
  </si>
  <si>
    <t>82.76%</t>
  </si>
  <si>
    <t>94.07%</t>
  </si>
  <si>
    <t>91.20%</t>
  </si>
  <si>
    <t>73.55%</t>
  </si>
  <si>
    <t>88.00%</t>
  </si>
  <si>
    <t>79.72%</t>
  </si>
  <si>
    <t>78.67%</t>
  </si>
  <si>
    <t>88.86%</t>
  </si>
  <si>
    <t>54.41%</t>
  </si>
  <si>
    <t>93.41%</t>
  </si>
  <si>
    <t>0.44%</t>
  </si>
  <si>
    <t>91.06%</t>
  </si>
  <si>
    <t>84.31%</t>
  </si>
  <si>
    <t>92.90%</t>
  </si>
  <si>
    <t>83.28%</t>
  </si>
  <si>
    <t>87.39%</t>
  </si>
  <si>
    <t>78.13%</t>
  </si>
  <si>
    <t>87.89%</t>
  </si>
  <si>
    <t>78.06%</t>
  </si>
  <si>
    <t>85.28%</t>
  </si>
  <si>
    <t>86.35%</t>
  </si>
  <si>
    <t>85.65%</t>
  </si>
  <si>
    <t>83.67%</t>
  </si>
  <si>
    <t>84.96%</t>
  </si>
  <si>
    <t>91.39%</t>
  </si>
  <si>
    <t>80.86%</t>
  </si>
  <si>
    <t>85.96%</t>
  </si>
  <si>
    <t>90.17%</t>
  </si>
  <si>
    <t>93.23%</t>
  </si>
  <si>
    <t>90.82%</t>
  </si>
  <si>
    <t>92.44%</t>
  </si>
  <si>
    <t>75.43%</t>
  </si>
  <si>
    <t>87.13%</t>
  </si>
  <si>
    <t>86.97%</t>
  </si>
  <si>
    <t>80.30%</t>
  </si>
  <si>
    <t>69.95%</t>
  </si>
  <si>
    <t>90.49%</t>
  </si>
  <si>
    <t>88.40%</t>
  </si>
  <si>
    <t>90.54%</t>
  </si>
  <si>
    <t>86.28%</t>
  </si>
  <si>
    <t>80.74%</t>
  </si>
  <si>
    <t>80.93%</t>
  </si>
  <si>
    <t>76.32%</t>
  </si>
  <si>
    <t>88.91%</t>
  </si>
  <si>
    <t>HK_204.hifi_reads</t>
  </si>
  <si>
    <t>HK_205.hifi_reads</t>
  </si>
  <si>
    <t>HK_209.hifi_reads</t>
  </si>
  <si>
    <t>HK_244.hifi_reads</t>
  </si>
  <si>
    <t>HK_264.hifi_reads</t>
  </si>
  <si>
    <t>HK_270.hifi_reads</t>
  </si>
  <si>
    <t>HK_G0_1.hifi_reads</t>
  </si>
  <si>
    <t>PB_310.hifi_reads</t>
  </si>
  <si>
    <t>PB_329.hifi_reads</t>
  </si>
  <si>
    <t>PB_342.hifi_reads</t>
  </si>
  <si>
    <t>PB_358.hifi_reads</t>
  </si>
  <si>
    <t>PB_374.hifi_reads</t>
  </si>
  <si>
    <t>PB_385.hifi_reads</t>
  </si>
  <si>
    <t>PB_G0_2.hifi_reads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</si>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</sst>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405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6" fontId="2" fillId="0" borderId="0" xfId="1" applyNumberFormat="1" applyFont="1"/>
    <xf numFmtId="166" fontId="2" fillId="0" borderId="0" xfId="0" applyNumberFormat="1" applyFon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workbookViewId="0">
      <pane xSplit="1" ySplit="1" topLeftCell="E71" activePane="bottomRight" state="frozen"/>
      <selection pane="topRight"/>
      <selection pane="bottomLeft"/>
      <selection pane="bottomRight" activeCell="J2" sqref="J2:J91"/>
    </sheetView>
  </sheetViews>
  <sheetFormatPr defaultRowHeight="14.5" x14ac:dyDescent="0.35"/>
  <cols>
    <col min="1" max="1" width="32" customWidth="1"/>
    <col min="2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>
        <v>1037</v>
      </c>
      <c r="C2" s="2">
        <v>997</v>
      </c>
      <c r="D2" s="2">
        <v>1</v>
      </c>
      <c r="E2" s="2">
        <v>0</v>
      </c>
      <c r="F2" s="2">
        <v>39</v>
      </c>
      <c r="G2" s="2">
        <v>0</v>
      </c>
      <c r="H2" s="4">
        <f>C2/B2</f>
        <v>0.96142719382835107</v>
      </c>
      <c r="I2" s="2">
        <f>E2/C2</f>
        <v>0</v>
      </c>
      <c r="J2" s="3">
        <f>(D2+E2+F2)/B2</f>
        <v>3.8572806171648988E-2</v>
      </c>
    </row>
    <row r="3" spans="1:10" x14ac:dyDescent="0.35">
      <c r="A3" s="2" t="s">
        <v>12</v>
      </c>
      <c r="B3" s="2">
        <v>1037</v>
      </c>
      <c r="C3" s="2">
        <v>983</v>
      </c>
      <c r="D3" s="2">
        <v>0</v>
      </c>
      <c r="E3" s="2">
        <v>0</v>
      </c>
      <c r="F3" s="2">
        <v>54</v>
      </c>
      <c r="G3" s="2">
        <v>0</v>
      </c>
      <c r="H3" s="4">
        <f t="shared" ref="H3:H66" si="0">C3/B3</f>
        <v>0.94792671166827391</v>
      </c>
      <c r="I3" s="2">
        <f t="shared" ref="I3:I66" si="1">E3/C3</f>
        <v>0</v>
      </c>
      <c r="J3" s="3">
        <f t="shared" ref="J3:J66" si="2">(D3+E3+F3)/B3</f>
        <v>5.2073288331726135E-2</v>
      </c>
    </row>
    <row r="4" spans="1:10" x14ac:dyDescent="0.35">
      <c r="A4" s="2" t="s">
        <v>13</v>
      </c>
      <c r="B4" s="2">
        <v>1037</v>
      </c>
      <c r="C4" s="2">
        <v>977</v>
      </c>
      <c r="D4" s="2">
        <v>1</v>
      </c>
      <c r="E4" s="2">
        <v>0</v>
      </c>
      <c r="F4" s="2">
        <v>59</v>
      </c>
      <c r="G4" s="2">
        <v>0</v>
      </c>
      <c r="H4" s="4">
        <f t="shared" si="0"/>
        <v>0.94214079074252655</v>
      </c>
      <c r="I4" s="2">
        <f t="shared" si="1"/>
        <v>0</v>
      </c>
      <c r="J4" s="3">
        <f t="shared" si="2"/>
        <v>5.7859209257473482E-2</v>
      </c>
    </row>
    <row r="5" spans="1:10" x14ac:dyDescent="0.35">
      <c r="A5" s="2" t="s">
        <v>14</v>
      </c>
      <c r="B5" s="2">
        <v>1037</v>
      </c>
      <c r="C5" s="2">
        <v>988</v>
      </c>
      <c r="D5" s="2">
        <v>1</v>
      </c>
      <c r="E5" s="2">
        <v>0</v>
      </c>
      <c r="F5" s="2">
        <v>48</v>
      </c>
      <c r="G5" s="2">
        <v>0</v>
      </c>
      <c r="H5" s="4">
        <f t="shared" si="0"/>
        <v>0.95274831243973002</v>
      </c>
      <c r="I5" s="2">
        <f t="shared" si="1"/>
        <v>0</v>
      </c>
      <c r="J5" s="3">
        <f t="shared" si="2"/>
        <v>4.7251687560270011E-2</v>
      </c>
    </row>
    <row r="6" spans="1:10" x14ac:dyDescent="0.35">
      <c r="A6" s="2" t="s">
        <v>16</v>
      </c>
      <c r="B6" s="2">
        <v>1037</v>
      </c>
      <c r="C6" s="2">
        <v>970</v>
      </c>
      <c r="D6" s="2">
        <v>2</v>
      </c>
      <c r="E6" s="2">
        <v>0</v>
      </c>
      <c r="F6" s="2">
        <v>65</v>
      </c>
      <c r="G6" s="2">
        <v>0</v>
      </c>
      <c r="H6" s="4">
        <f t="shared" si="0"/>
        <v>0.93539054966248791</v>
      </c>
      <c r="I6" s="2">
        <f t="shared" si="1"/>
        <v>0</v>
      </c>
      <c r="J6" s="3">
        <f t="shared" si="2"/>
        <v>6.4609450337512059E-2</v>
      </c>
    </row>
    <row r="7" spans="1:10" x14ac:dyDescent="0.35">
      <c r="A7" s="2" t="s">
        <v>18</v>
      </c>
      <c r="B7" s="2">
        <v>1037</v>
      </c>
      <c r="C7" s="2">
        <v>990</v>
      </c>
      <c r="D7" s="2">
        <v>1</v>
      </c>
      <c r="E7" s="2">
        <v>0</v>
      </c>
      <c r="F7" s="2">
        <v>46</v>
      </c>
      <c r="G7" s="2">
        <v>0</v>
      </c>
      <c r="H7" s="4">
        <f t="shared" si="0"/>
        <v>0.95467695274831244</v>
      </c>
      <c r="I7" s="2">
        <f t="shared" si="1"/>
        <v>0</v>
      </c>
      <c r="J7" s="3">
        <f t="shared" si="2"/>
        <v>4.5323047251687558E-2</v>
      </c>
    </row>
    <row r="8" spans="1:10" x14ac:dyDescent="0.35">
      <c r="A8" s="2" t="s">
        <v>19</v>
      </c>
      <c r="B8" s="2">
        <v>1037</v>
      </c>
      <c r="C8" s="2">
        <v>984</v>
      </c>
      <c r="D8" s="2">
        <v>1</v>
      </c>
      <c r="E8" s="2">
        <v>0</v>
      </c>
      <c r="F8" s="2">
        <v>52</v>
      </c>
      <c r="G8" s="2">
        <v>0</v>
      </c>
      <c r="H8" s="4">
        <f t="shared" si="0"/>
        <v>0.94889103182256507</v>
      </c>
      <c r="I8" s="2">
        <f t="shared" si="1"/>
        <v>0</v>
      </c>
      <c r="J8" s="3">
        <f t="shared" si="2"/>
        <v>5.1108968177434912E-2</v>
      </c>
    </row>
    <row r="9" spans="1:10" x14ac:dyDescent="0.35">
      <c r="A9" s="2" t="s">
        <v>20</v>
      </c>
      <c r="B9" s="2">
        <v>1037</v>
      </c>
      <c r="C9" s="2">
        <v>982</v>
      </c>
      <c r="D9" s="2">
        <v>0</v>
      </c>
      <c r="E9" s="2">
        <v>0</v>
      </c>
      <c r="F9" s="2">
        <v>55</v>
      </c>
      <c r="G9" s="2">
        <v>0</v>
      </c>
      <c r="H9" s="4">
        <f t="shared" si="0"/>
        <v>0.94696239151398265</v>
      </c>
      <c r="I9" s="2">
        <f t="shared" si="1"/>
        <v>0</v>
      </c>
      <c r="J9" s="3">
        <f t="shared" si="2"/>
        <v>5.3037608486017358E-2</v>
      </c>
    </row>
    <row r="10" spans="1:10" x14ac:dyDescent="0.35">
      <c r="A10" s="2" t="s">
        <v>21</v>
      </c>
      <c r="B10" s="2">
        <v>1037</v>
      </c>
      <c r="C10" s="2">
        <v>976</v>
      </c>
      <c r="D10" s="2">
        <v>2</v>
      </c>
      <c r="E10" s="2">
        <v>0</v>
      </c>
      <c r="F10" s="2">
        <v>59</v>
      </c>
      <c r="G10" s="2">
        <v>0</v>
      </c>
      <c r="H10" s="4">
        <f t="shared" si="0"/>
        <v>0.94117647058823528</v>
      </c>
      <c r="I10" s="2">
        <f t="shared" si="1"/>
        <v>0</v>
      </c>
      <c r="J10" s="3">
        <f t="shared" si="2"/>
        <v>5.8823529411764705E-2</v>
      </c>
    </row>
    <row r="11" spans="1:10" x14ac:dyDescent="0.35">
      <c r="A11" s="2" t="s">
        <v>22</v>
      </c>
      <c r="B11" s="2">
        <v>1037</v>
      </c>
      <c r="C11" s="2">
        <v>950</v>
      </c>
      <c r="D11" s="2">
        <v>0</v>
      </c>
      <c r="E11" s="2">
        <v>0</v>
      </c>
      <c r="F11" s="2">
        <v>87</v>
      </c>
      <c r="G11" s="2">
        <v>0</v>
      </c>
      <c r="H11" s="4">
        <f t="shared" si="0"/>
        <v>0.9161041465766635</v>
      </c>
      <c r="I11" s="2">
        <f t="shared" si="1"/>
        <v>0</v>
      </c>
      <c r="J11" s="3">
        <f t="shared" si="2"/>
        <v>8.3895853423336553E-2</v>
      </c>
    </row>
    <row r="12" spans="1:10" x14ac:dyDescent="0.35">
      <c r="A12" s="2" t="s">
        <v>23</v>
      </c>
      <c r="B12" s="2">
        <v>1037</v>
      </c>
      <c r="C12" s="2">
        <v>980</v>
      </c>
      <c r="D12" s="2">
        <v>0</v>
      </c>
      <c r="E12" s="2">
        <v>0</v>
      </c>
      <c r="F12" s="2">
        <v>57</v>
      </c>
      <c r="G12" s="2">
        <v>0</v>
      </c>
      <c r="H12" s="4">
        <f t="shared" si="0"/>
        <v>0.94503375120540023</v>
      </c>
      <c r="I12" s="2">
        <f t="shared" si="1"/>
        <v>0</v>
      </c>
      <c r="J12" s="3">
        <f t="shared" si="2"/>
        <v>5.4966248794599805E-2</v>
      </c>
    </row>
    <row r="13" spans="1:10" x14ac:dyDescent="0.35">
      <c r="A13" s="2" t="s">
        <v>24</v>
      </c>
      <c r="B13" s="2">
        <v>1037</v>
      </c>
      <c r="C13" s="2">
        <v>987</v>
      </c>
      <c r="D13" s="2">
        <v>3</v>
      </c>
      <c r="E13" s="2">
        <v>0</v>
      </c>
      <c r="F13" s="2">
        <v>47</v>
      </c>
      <c r="G13" s="2">
        <v>0</v>
      </c>
      <c r="H13" s="4">
        <f t="shared" si="0"/>
        <v>0.95178399228543875</v>
      </c>
      <c r="I13" s="2">
        <f t="shared" si="1"/>
        <v>0</v>
      </c>
      <c r="J13" s="3">
        <f t="shared" si="2"/>
        <v>4.8216007714561235E-2</v>
      </c>
    </row>
    <row r="14" spans="1:10" x14ac:dyDescent="0.35">
      <c r="A14" s="2" t="s">
        <v>26</v>
      </c>
      <c r="B14" s="2">
        <v>1037</v>
      </c>
      <c r="C14" s="2">
        <v>985</v>
      </c>
      <c r="D14" s="2">
        <v>0</v>
      </c>
      <c r="E14" s="2">
        <v>0</v>
      </c>
      <c r="F14" s="2">
        <v>52</v>
      </c>
      <c r="G14" s="2">
        <v>0</v>
      </c>
      <c r="H14" s="4">
        <f t="shared" si="0"/>
        <v>0.94985535197685633</v>
      </c>
      <c r="I14" s="2">
        <f t="shared" si="1"/>
        <v>0</v>
      </c>
      <c r="J14" s="3">
        <f t="shared" si="2"/>
        <v>5.0144648023143681E-2</v>
      </c>
    </row>
    <row r="15" spans="1:10" x14ac:dyDescent="0.35">
      <c r="A15" s="2" t="s">
        <v>28</v>
      </c>
      <c r="B15" s="2">
        <v>1037</v>
      </c>
      <c r="C15" s="2">
        <v>985</v>
      </c>
      <c r="D15" s="2">
        <v>0</v>
      </c>
      <c r="E15" s="2">
        <v>0</v>
      </c>
      <c r="F15" s="2">
        <v>52</v>
      </c>
      <c r="G15" s="2">
        <v>0</v>
      </c>
      <c r="H15" s="4">
        <f t="shared" si="0"/>
        <v>0.94985535197685633</v>
      </c>
      <c r="I15" s="2">
        <f t="shared" si="1"/>
        <v>0</v>
      </c>
      <c r="J15" s="3">
        <f t="shared" si="2"/>
        <v>5.0144648023143681E-2</v>
      </c>
    </row>
    <row r="16" spans="1:10" x14ac:dyDescent="0.35">
      <c r="A16" s="2" t="s">
        <v>29</v>
      </c>
      <c r="B16" s="2">
        <v>1037</v>
      </c>
      <c r="C16" s="2">
        <v>994</v>
      </c>
      <c r="D16" s="2">
        <v>0</v>
      </c>
      <c r="E16" s="2">
        <v>0</v>
      </c>
      <c r="F16" s="2">
        <v>43</v>
      </c>
      <c r="G16" s="2">
        <v>0</v>
      </c>
      <c r="H16" s="4">
        <f t="shared" si="0"/>
        <v>0.95853423336547738</v>
      </c>
      <c r="I16" s="2">
        <f t="shared" si="1"/>
        <v>0</v>
      </c>
      <c r="J16" s="3">
        <f t="shared" si="2"/>
        <v>4.1465766634522665E-2</v>
      </c>
    </row>
    <row r="17" spans="1:10" x14ac:dyDescent="0.35">
      <c r="A17" s="2" t="s">
        <v>30</v>
      </c>
      <c r="B17" s="2">
        <v>1037</v>
      </c>
      <c r="C17" s="2">
        <v>987</v>
      </c>
      <c r="D17" s="2">
        <v>1</v>
      </c>
      <c r="E17" s="2">
        <v>0</v>
      </c>
      <c r="F17" s="2">
        <v>49</v>
      </c>
      <c r="G17" s="2">
        <v>0</v>
      </c>
      <c r="H17" s="4">
        <f t="shared" si="0"/>
        <v>0.95178399228543875</v>
      </c>
      <c r="I17" s="2">
        <f t="shared" si="1"/>
        <v>0</v>
      </c>
      <c r="J17" s="3">
        <f t="shared" si="2"/>
        <v>4.8216007714561235E-2</v>
      </c>
    </row>
    <row r="18" spans="1:10" x14ac:dyDescent="0.35">
      <c r="A18" s="2" t="s">
        <v>31</v>
      </c>
      <c r="B18" s="2">
        <v>1037</v>
      </c>
      <c r="C18" s="2">
        <v>990</v>
      </c>
      <c r="D18" s="2">
        <v>0</v>
      </c>
      <c r="E18" s="2">
        <v>0</v>
      </c>
      <c r="F18" s="2">
        <v>47</v>
      </c>
      <c r="G18" s="2">
        <v>0</v>
      </c>
      <c r="H18" s="4">
        <f t="shared" si="0"/>
        <v>0.95467695274831244</v>
      </c>
      <c r="I18" s="2">
        <f t="shared" si="1"/>
        <v>0</v>
      </c>
      <c r="J18" s="3">
        <f t="shared" si="2"/>
        <v>4.5323047251687558E-2</v>
      </c>
    </row>
    <row r="19" spans="1:10" x14ac:dyDescent="0.35">
      <c r="A19" s="2" t="s">
        <v>32</v>
      </c>
      <c r="B19" s="2">
        <v>1037</v>
      </c>
      <c r="C19" s="2">
        <v>988</v>
      </c>
      <c r="D19" s="2">
        <v>1</v>
      </c>
      <c r="E19" s="2">
        <v>0</v>
      </c>
      <c r="F19" s="2">
        <v>48</v>
      </c>
      <c r="G19" s="2">
        <v>0</v>
      </c>
      <c r="H19" s="4">
        <f t="shared" si="0"/>
        <v>0.95274831243973002</v>
      </c>
      <c r="I19" s="2">
        <f t="shared" si="1"/>
        <v>0</v>
      </c>
      <c r="J19" s="3">
        <f t="shared" si="2"/>
        <v>4.7251687560270011E-2</v>
      </c>
    </row>
    <row r="20" spans="1:10" x14ac:dyDescent="0.35">
      <c r="A20" s="2" t="s">
        <v>33</v>
      </c>
      <c r="B20" s="2">
        <v>1037</v>
      </c>
      <c r="C20" s="2">
        <v>988</v>
      </c>
      <c r="D20" s="2">
        <v>2</v>
      </c>
      <c r="E20" s="2">
        <v>0</v>
      </c>
      <c r="F20" s="2">
        <v>47</v>
      </c>
      <c r="G20" s="2">
        <v>0</v>
      </c>
      <c r="H20" s="4">
        <f t="shared" si="0"/>
        <v>0.95274831243973002</v>
      </c>
      <c r="I20" s="2">
        <f t="shared" si="1"/>
        <v>0</v>
      </c>
      <c r="J20" s="3">
        <f t="shared" si="2"/>
        <v>4.7251687560270011E-2</v>
      </c>
    </row>
    <row r="21" spans="1:10" x14ac:dyDescent="0.35">
      <c r="A21" s="2" t="s">
        <v>34</v>
      </c>
      <c r="B21" s="2">
        <v>1037</v>
      </c>
      <c r="C21" s="2">
        <v>980</v>
      </c>
      <c r="D21" s="2">
        <v>5</v>
      </c>
      <c r="E21" s="2">
        <v>0</v>
      </c>
      <c r="F21" s="2">
        <v>52</v>
      </c>
      <c r="G21" s="2">
        <v>0</v>
      </c>
      <c r="H21" s="4">
        <f t="shared" si="0"/>
        <v>0.94503375120540023</v>
      </c>
      <c r="I21" s="2">
        <f t="shared" si="1"/>
        <v>0</v>
      </c>
      <c r="J21" s="3">
        <f t="shared" si="2"/>
        <v>5.4966248794599805E-2</v>
      </c>
    </row>
    <row r="22" spans="1:10" x14ac:dyDescent="0.35">
      <c r="A22" s="2" t="s">
        <v>35</v>
      </c>
      <c r="B22" s="2">
        <v>1037</v>
      </c>
      <c r="C22" s="2">
        <v>987</v>
      </c>
      <c r="D22" s="2">
        <v>1</v>
      </c>
      <c r="E22" s="2">
        <v>0</v>
      </c>
      <c r="F22" s="2">
        <v>49</v>
      </c>
      <c r="G22" s="2">
        <v>0</v>
      </c>
      <c r="H22" s="4">
        <f t="shared" si="0"/>
        <v>0.95178399228543875</v>
      </c>
      <c r="I22" s="2">
        <f t="shared" si="1"/>
        <v>0</v>
      </c>
      <c r="J22" s="3">
        <f t="shared" si="2"/>
        <v>4.8216007714561235E-2</v>
      </c>
    </row>
    <row r="23" spans="1:10" x14ac:dyDescent="0.35">
      <c r="A23" s="2" t="s">
        <v>36</v>
      </c>
      <c r="B23" s="2">
        <v>1037</v>
      </c>
      <c r="C23" s="2">
        <v>988</v>
      </c>
      <c r="D23" s="2">
        <v>1</v>
      </c>
      <c r="E23" s="2">
        <v>0</v>
      </c>
      <c r="F23" s="2">
        <v>48</v>
      </c>
      <c r="G23" s="2">
        <v>0</v>
      </c>
      <c r="H23" s="4">
        <f t="shared" si="0"/>
        <v>0.95274831243973002</v>
      </c>
      <c r="I23" s="2">
        <f t="shared" si="1"/>
        <v>0</v>
      </c>
      <c r="J23" s="3">
        <f t="shared" si="2"/>
        <v>4.7251687560270011E-2</v>
      </c>
    </row>
    <row r="24" spans="1:10" x14ac:dyDescent="0.35">
      <c r="A24" s="2" t="s">
        <v>37</v>
      </c>
      <c r="B24" s="2">
        <v>1037</v>
      </c>
      <c r="C24" s="2">
        <v>976</v>
      </c>
      <c r="D24" s="2">
        <v>0</v>
      </c>
      <c r="E24" s="2">
        <v>0</v>
      </c>
      <c r="F24" s="2">
        <v>61</v>
      </c>
      <c r="G24" s="2">
        <v>0</v>
      </c>
      <c r="H24" s="4">
        <f t="shared" si="0"/>
        <v>0.94117647058823528</v>
      </c>
      <c r="I24" s="2">
        <f t="shared" si="1"/>
        <v>0</v>
      </c>
      <c r="J24" s="3">
        <f t="shared" si="2"/>
        <v>5.8823529411764705E-2</v>
      </c>
    </row>
    <row r="25" spans="1:10" x14ac:dyDescent="0.35">
      <c r="A25" s="2" t="s">
        <v>38</v>
      </c>
      <c r="B25" s="2">
        <v>1037</v>
      </c>
      <c r="C25" s="2">
        <v>992</v>
      </c>
      <c r="D25" s="2">
        <v>1</v>
      </c>
      <c r="E25" s="2">
        <v>0</v>
      </c>
      <c r="F25" s="2">
        <v>44</v>
      </c>
      <c r="G25" s="2">
        <v>0</v>
      </c>
      <c r="H25" s="4">
        <f t="shared" si="0"/>
        <v>0.95660559305689485</v>
      </c>
      <c r="I25" s="2">
        <f t="shared" si="1"/>
        <v>0</v>
      </c>
      <c r="J25" s="3">
        <f t="shared" si="2"/>
        <v>4.3394406943105111E-2</v>
      </c>
    </row>
    <row r="26" spans="1:10" x14ac:dyDescent="0.35">
      <c r="A26" s="2" t="s">
        <v>39</v>
      </c>
      <c r="B26" s="2">
        <v>1037</v>
      </c>
      <c r="C26" s="2">
        <v>984</v>
      </c>
      <c r="D26" s="2">
        <v>1</v>
      </c>
      <c r="E26" s="2">
        <v>0</v>
      </c>
      <c r="F26" s="2">
        <v>52</v>
      </c>
      <c r="G26" s="2">
        <v>0</v>
      </c>
      <c r="H26" s="4">
        <f t="shared" si="0"/>
        <v>0.94889103182256507</v>
      </c>
      <c r="I26" s="2">
        <f t="shared" si="1"/>
        <v>0</v>
      </c>
      <c r="J26" s="3">
        <f t="shared" si="2"/>
        <v>5.1108968177434912E-2</v>
      </c>
    </row>
    <row r="27" spans="1:10" x14ac:dyDescent="0.35">
      <c r="A27" s="2" t="s">
        <v>40</v>
      </c>
      <c r="B27" s="2">
        <v>1037</v>
      </c>
      <c r="C27" s="2">
        <v>981</v>
      </c>
      <c r="D27" s="2">
        <v>3</v>
      </c>
      <c r="E27" s="2">
        <v>0</v>
      </c>
      <c r="F27" s="2">
        <v>53</v>
      </c>
      <c r="G27" s="2">
        <v>0</v>
      </c>
      <c r="H27" s="4">
        <f t="shared" si="0"/>
        <v>0.94599807135969138</v>
      </c>
      <c r="I27" s="2">
        <f t="shared" si="1"/>
        <v>0</v>
      </c>
      <c r="J27" s="3">
        <f t="shared" si="2"/>
        <v>5.4001928640308582E-2</v>
      </c>
    </row>
    <row r="28" spans="1:10" x14ac:dyDescent="0.35">
      <c r="A28" s="2" t="s">
        <v>41</v>
      </c>
      <c r="B28" s="2">
        <v>1037</v>
      </c>
      <c r="C28" s="2">
        <v>986</v>
      </c>
      <c r="D28" s="2">
        <v>1</v>
      </c>
      <c r="E28" s="2">
        <v>0</v>
      </c>
      <c r="F28" s="2">
        <v>50</v>
      </c>
      <c r="G28" s="2">
        <v>0</v>
      </c>
      <c r="H28" s="4">
        <f t="shared" si="0"/>
        <v>0.95081967213114749</v>
      </c>
      <c r="I28" s="2">
        <f t="shared" si="1"/>
        <v>0</v>
      </c>
      <c r="J28" s="3">
        <f t="shared" si="2"/>
        <v>4.9180327868852458E-2</v>
      </c>
    </row>
    <row r="29" spans="1:10" x14ac:dyDescent="0.35">
      <c r="A29" s="2" t="s">
        <v>42</v>
      </c>
      <c r="B29" s="2">
        <v>1037</v>
      </c>
      <c r="C29" s="2">
        <v>970</v>
      </c>
      <c r="D29" s="2">
        <v>1</v>
      </c>
      <c r="E29" s="2">
        <v>0</v>
      </c>
      <c r="F29" s="2">
        <v>66</v>
      </c>
      <c r="G29" s="2">
        <v>0</v>
      </c>
      <c r="H29" s="4">
        <f t="shared" si="0"/>
        <v>0.93539054966248791</v>
      </c>
      <c r="I29" s="2">
        <f t="shared" si="1"/>
        <v>0</v>
      </c>
      <c r="J29" s="3">
        <f t="shared" si="2"/>
        <v>6.4609450337512059E-2</v>
      </c>
    </row>
    <row r="30" spans="1:10" x14ac:dyDescent="0.35">
      <c r="A30" s="2" t="s">
        <v>43</v>
      </c>
      <c r="B30" s="2">
        <v>1037</v>
      </c>
      <c r="C30" s="2">
        <v>985</v>
      </c>
      <c r="D30" s="2">
        <v>0</v>
      </c>
      <c r="E30" s="2">
        <v>0</v>
      </c>
      <c r="F30" s="2">
        <v>52</v>
      </c>
      <c r="G30" s="2">
        <v>0</v>
      </c>
      <c r="H30" s="4">
        <f t="shared" si="0"/>
        <v>0.94985535197685633</v>
      </c>
      <c r="I30" s="2">
        <f t="shared" si="1"/>
        <v>0</v>
      </c>
      <c r="J30" s="3">
        <f t="shared" si="2"/>
        <v>5.0144648023143681E-2</v>
      </c>
    </row>
    <row r="31" spans="1:10" x14ac:dyDescent="0.35">
      <c r="A31" s="2" t="s">
        <v>44</v>
      </c>
      <c r="B31" s="2">
        <v>1037</v>
      </c>
      <c r="C31" s="2">
        <v>984</v>
      </c>
      <c r="D31" s="2">
        <v>2</v>
      </c>
      <c r="E31" s="2">
        <v>0</v>
      </c>
      <c r="F31" s="2">
        <v>51</v>
      </c>
      <c r="G31" s="2">
        <v>0</v>
      </c>
      <c r="H31" s="4">
        <f t="shared" si="0"/>
        <v>0.94889103182256507</v>
      </c>
      <c r="I31" s="2">
        <f t="shared" si="1"/>
        <v>0</v>
      </c>
      <c r="J31" s="3">
        <f t="shared" si="2"/>
        <v>5.1108968177434912E-2</v>
      </c>
    </row>
    <row r="32" spans="1:10" x14ac:dyDescent="0.35">
      <c r="A32" s="2" t="s">
        <v>45</v>
      </c>
      <c r="B32" s="2">
        <v>1037</v>
      </c>
      <c r="C32" s="2">
        <v>977</v>
      </c>
      <c r="D32" s="2">
        <v>3</v>
      </c>
      <c r="E32" s="2">
        <v>0</v>
      </c>
      <c r="F32" s="2">
        <v>57</v>
      </c>
      <c r="G32" s="2">
        <v>0</v>
      </c>
      <c r="H32" s="4">
        <f t="shared" si="0"/>
        <v>0.94214079074252655</v>
      </c>
      <c r="I32" s="2">
        <f t="shared" si="1"/>
        <v>0</v>
      </c>
      <c r="J32" s="3">
        <f t="shared" si="2"/>
        <v>5.7859209257473482E-2</v>
      </c>
    </row>
    <row r="33" spans="1:10" x14ac:dyDescent="0.35">
      <c r="A33" s="2" t="s">
        <v>46</v>
      </c>
      <c r="B33" s="2">
        <v>1037</v>
      </c>
      <c r="C33" s="2">
        <v>985</v>
      </c>
      <c r="D33" s="2">
        <v>1</v>
      </c>
      <c r="E33" s="2">
        <v>0</v>
      </c>
      <c r="F33" s="2">
        <v>51</v>
      </c>
      <c r="G33" s="2">
        <v>0</v>
      </c>
      <c r="H33" s="4">
        <f t="shared" si="0"/>
        <v>0.94985535197685633</v>
      </c>
      <c r="I33" s="2">
        <f t="shared" si="1"/>
        <v>0</v>
      </c>
      <c r="J33" s="3">
        <f t="shared" si="2"/>
        <v>5.0144648023143681E-2</v>
      </c>
    </row>
    <row r="34" spans="1:10" x14ac:dyDescent="0.35">
      <c r="A34" s="2" t="s">
        <v>47</v>
      </c>
      <c r="B34" s="2">
        <v>1037</v>
      </c>
      <c r="C34" s="2">
        <v>987</v>
      </c>
      <c r="D34" s="2">
        <v>3</v>
      </c>
      <c r="E34" s="2">
        <v>0</v>
      </c>
      <c r="F34" s="2">
        <v>47</v>
      </c>
      <c r="G34" s="2">
        <v>0</v>
      </c>
      <c r="H34" s="4">
        <f t="shared" si="0"/>
        <v>0.95178399228543875</v>
      </c>
      <c r="I34" s="2">
        <f t="shared" si="1"/>
        <v>0</v>
      </c>
      <c r="J34" s="3">
        <f t="shared" si="2"/>
        <v>4.8216007714561235E-2</v>
      </c>
    </row>
    <row r="35" spans="1:10" x14ac:dyDescent="0.35">
      <c r="A35" s="2" t="s">
        <v>48</v>
      </c>
      <c r="B35" s="2">
        <v>1037</v>
      </c>
      <c r="C35" s="2">
        <v>977</v>
      </c>
      <c r="D35" s="2">
        <v>1</v>
      </c>
      <c r="E35" s="2">
        <v>0</v>
      </c>
      <c r="F35" s="2">
        <v>59</v>
      </c>
      <c r="G35" s="2">
        <v>0</v>
      </c>
      <c r="H35" s="4">
        <f t="shared" si="0"/>
        <v>0.94214079074252655</v>
      </c>
      <c r="I35" s="2">
        <f t="shared" si="1"/>
        <v>0</v>
      </c>
      <c r="J35" s="3">
        <f t="shared" si="2"/>
        <v>5.7859209257473482E-2</v>
      </c>
    </row>
    <row r="36" spans="1:10" x14ac:dyDescent="0.35">
      <c r="A36" s="2" t="s">
        <v>49</v>
      </c>
      <c r="B36" s="2">
        <v>1037</v>
      </c>
      <c r="C36" s="2">
        <v>972</v>
      </c>
      <c r="D36" s="2">
        <v>2</v>
      </c>
      <c r="E36" s="2">
        <v>0</v>
      </c>
      <c r="F36" s="2">
        <v>63</v>
      </c>
      <c r="G36" s="2">
        <v>0</v>
      </c>
      <c r="H36" s="4">
        <f t="shared" si="0"/>
        <v>0.93731918997107044</v>
      </c>
      <c r="I36" s="2">
        <f t="shared" si="1"/>
        <v>0</v>
      </c>
      <c r="J36" s="3">
        <f t="shared" si="2"/>
        <v>6.2680810028929598E-2</v>
      </c>
    </row>
    <row r="37" spans="1:10" x14ac:dyDescent="0.35">
      <c r="A37" s="2" t="s">
        <v>50</v>
      </c>
      <c r="B37" s="2">
        <v>1037</v>
      </c>
      <c r="C37" s="2">
        <v>989</v>
      </c>
      <c r="D37" s="2">
        <v>0</v>
      </c>
      <c r="E37" s="2">
        <v>0</v>
      </c>
      <c r="F37" s="2">
        <v>48</v>
      </c>
      <c r="G37" s="2">
        <v>0</v>
      </c>
      <c r="H37" s="4">
        <f t="shared" si="0"/>
        <v>0.95371263259402117</v>
      </c>
      <c r="I37" s="2">
        <f t="shared" si="1"/>
        <v>0</v>
      </c>
      <c r="J37" s="3">
        <f t="shared" si="2"/>
        <v>4.6287367405978788E-2</v>
      </c>
    </row>
    <row r="38" spans="1:10" x14ac:dyDescent="0.35">
      <c r="A38" s="2" t="s">
        <v>51</v>
      </c>
      <c r="B38" s="2">
        <v>1037</v>
      </c>
      <c r="C38" s="2">
        <v>976</v>
      </c>
      <c r="D38" s="2">
        <v>2</v>
      </c>
      <c r="E38" s="2">
        <v>0</v>
      </c>
      <c r="F38" s="2">
        <v>59</v>
      </c>
      <c r="G38" s="2">
        <v>0</v>
      </c>
      <c r="H38" s="4">
        <f t="shared" si="0"/>
        <v>0.94117647058823528</v>
      </c>
      <c r="I38" s="2">
        <f t="shared" si="1"/>
        <v>0</v>
      </c>
      <c r="J38" s="3">
        <f t="shared" si="2"/>
        <v>5.8823529411764705E-2</v>
      </c>
    </row>
    <row r="39" spans="1:10" x14ac:dyDescent="0.35">
      <c r="A39" s="2" t="s">
        <v>52</v>
      </c>
      <c r="B39" s="2">
        <v>1037</v>
      </c>
      <c r="C39" s="2">
        <v>975</v>
      </c>
      <c r="D39" s="2">
        <v>6</v>
      </c>
      <c r="E39" s="2">
        <v>0</v>
      </c>
      <c r="F39" s="2">
        <v>56</v>
      </c>
      <c r="G39" s="2">
        <v>0</v>
      </c>
      <c r="H39" s="4">
        <f t="shared" si="0"/>
        <v>0.94021215043394402</v>
      </c>
      <c r="I39" s="2">
        <f t="shared" si="1"/>
        <v>0</v>
      </c>
      <c r="J39" s="3">
        <f t="shared" si="2"/>
        <v>5.9787849566055928E-2</v>
      </c>
    </row>
    <row r="40" spans="1:10" x14ac:dyDescent="0.35">
      <c r="A40" s="2" t="s">
        <v>54</v>
      </c>
      <c r="B40" s="2">
        <v>1037</v>
      </c>
      <c r="C40" s="2">
        <v>990</v>
      </c>
      <c r="D40" s="2">
        <v>1</v>
      </c>
      <c r="E40" s="2">
        <v>0</v>
      </c>
      <c r="F40" s="2">
        <v>46</v>
      </c>
      <c r="G40" s="2">
        <v>0</v>
      </c>
      <c r="H40" s="4">
        <f t="shared" si="0"/>
        <v>0.95467695274831244</v>
      </c>
      <c r="I40" s="2">
        <f t="shared" si="1"/>
        <v>0</v>
      </c>
      <c r="J40" s="3">
        <f t="shared" si="2"/>
        <v>4.5323047251687558E-2</v>
      </c>
    </row>
    <row r="41" spans="1:10" x14ac:dyDescent="0.35">
      <c r="A41" s="2" t="s">
        <v>55</v>
      </c>
      <c r="B41" s="2">
        <v>1037</v>
      </c>
      <c r="C41" s="2">
        <v>984</v>
      </c>
      <c r="D41" s="2">
        <v>1</v>
      </c>
      <c r="E41" s="2">
        <v>0</v>
      </c>
      <c r="F41" s="2">
        <v>52</v>
      </c>
      <c r="G41" s="2">
        <v>0</v>
      </c>
      <c r="H41" s="4">
        <f t="shared" si="0"/>
        <v>0.94889103182256507</v>
      </c>
      <c r="I41" s="2">
        <f t="shared" si="1"/>
        <v>0</v>
      </c>
      <c r="J41" s="3">
        <f t="shared" si="2"/>
        <v>5.1108968177434912E-2</v>
      </c>
    </row>
    <row r="42" spans="1:10" x14ac:dyDescent="0.35">
      <c r="A42" s="2" t="s">
        <v>56</v>
      </c>
      <c r="B42" s="2">
        <v>1037</v>
      </c>
      <c r="C42" s="2">
        <v>973</v>
      </c>
      <c r="D42" s="2">
        <v>2</v>
      </c>
      <c r="E42" s="2">
        <v>0</v>
      </c>
      <c r="F42" s="2">
        <v>62</v>
      </c>
      <c r="G42" s="2">
        <v>0</v>
      </c>
      <c r="H42" s="4">
        <f t="shared" si="0"/>
        <v>0.9382835101253616</v>
      </c>
      <c r="I42" s="2">
        <f t="shared" si="1"/>
        <v>0</v>
      </c>
      <c r="J42" s="3">
        <f t="shared" si="2"/>
        <v>6.1716489874638382E-2</v>
      </c>
    </row>
    <row r="43" spans="1:10" x14ac:dyDescent="0.35">
      <c r="A43" s="2" t="s">
        <v>58</v>
      </c>
      <c r="B43" s="2">
        <v>1037</v>
      </c>
      <c r="C43" s="2">
        <v>989</v>
      </c>
      <c r="D43" s="2">
        <v>0</v>
      </c>
      <c r="E43" s="2">
        <v>0</v>
      </c>
      <c r="F43" s="2">
        <v>48</v>
      </c>
      <c r="G43" s="2">
        <v>0</v>
      </c>
      <c r="H43" s="4">
        <f t="shared" si="0"/>
        <v>0.95371263259402117</v>
      </c>
      <c r="I43" s="2">
        <f t="shared" si="1"/>
        <v>0</v>
      </c>
      <c r="J43" s="3">
        <f t="shared" si="2"/>
        <v>4.6287367405978788E-2</v>
      </c>
    </row>
    <row r="44" spans="1:10" x14ac:dyDescent="0.35">
      <c r="A44" s="2" t="s">
        <v>59</v>
      </c>
      <c r="B44" s="2">
        <v>1037</v>
      </c>
      <c r="C44" s="2">
        <v>983</v>
      </c>
      <c r="D44" s="2">
        <v>2</v>
      </c>
      <c r="E44" s="2">
        <v>0</v>
      </c>
      <c r="F44" s="2">
        <v>52</v>
      </c>
      <c r="G44" s="2">
        <v>0</v>
      </c>
      <c r="H44" s="4">
        <f t="shared" si="0"/>
        <v>0.94792671166827391</v>
      </c>
      <c r="I44" s="2">
        <f t="shared" si="1"/>
        <v>0</v>
      </c>
      <c r="J44" s="3">
        <f t="shared" si="2"/>
        <v>5.2073288331726135E-2</v>
      </c>
    </row>
    <row r="45" spans="1:10" x14ac:dyDescent="0.35">
      <c r="A45" s="2" t="s">
        <v>60</v>
      </c>
      <c r="B45" s="2">
        <v>1037</v>
      </c>
      <c r="C45" s="2">
        <v>983</v>
      </c>
      <c r="D45" s="2">
        <v>1</v>
      </c>
      <c r="E45" s="2">
        <v>0</v>
      </c>
      <c r="F45" s="2">
        <v>53</v>
      </c>
      <c r="G45" s="2">
        <v>0</v>
      </c>
      <c r="H45" s="4">
        <f t="shared" si="0"/>
        <v>0.94792671166827391</v>
      </c>
      <c r="I45" s="2">
        <f t="shared" si="1"/>
        <v>0</v>
      </c>
      <c r="J45" s="3">
        <f t="shared" si="2"/>
        <v>5.2073288331726135E-2</v>
      </c>
    </row>
    <row r="46" spans="1:10" x14ac:dyDescent="0.35">
      <c r="A46" s="2" t="s">
        <v>61</v>
      </c>
      <c r="B46" s="2">
        <v>1037</v>
      </c>
      <c r="C46" s="2">
        <v>986</v>
      </c>
      <c r="D46" s="2">
        <v>0</v>
      </c>
      <c r="E46" s="2">
        <v>0</v>
      </c>
      <c r="F46" s="2">
        <v>51</v>
      </c>
      <c r="G46" s="2">
        <v>0</v>
      </c>
      <c r="H46" s="4">
        <f t="shared" si="0"/>
        <v>0.95081967213114749</v>
      </c>
      <c r="I46" s="2">
        <f t="shared" si="1"/>
        <v>0</v>
      </c>
      <c r="J46" s="3">
        <f t="shared" si="2"/>
        <v>4.9180327868852458E-2</v>
      </c>
    </row>
    <row r="47" spans="1:10" x14ac:dyDescent="0.35">
      <c r="A47" s="2" t="s">
        <v>62</v>
      </c>
      <c r="B47" s="2">
        <v>1037</v>
      </c>
      <c r="C47" s="2">
        <v>976</v>
      </c>
      <c r="D47" s="2">
        <v>2</v>
      </c>
      <c r="E47" s="2">
        <v>0</v>
      </c>
      <c r="F47" s="2">
        <v>59</v>
      </c>
      <c r="G47" s="2">
        <v>0</v>
      </c>
      <c r="H47" s="4">
        <f t="shared" si="0"/>
        <v>0.94117647058823528</v>
      </c>
      <c r="I47" s="2">
        <f t="shared" si="1"/>
        <v>0</v>
      </c>
      <c r="J47" s="3">
        <f t="shared" si="2"/>
        <v>5.8823529411764705E-2</v>
      </c>
    </row>
    <row r="48" spans="1:10" x14ac:dyDescent="0.35">
      <c r="A48" s="2" t="s">
        <v>63</v>
      </c>
      <c r="B48" s="2">
        <v>1037</v>
      </c>
      <c r="C48" s="2">
        <v>985</v>
      </c>
      <c r="D48" s="2">
        <v>2</v>
      </c>
      <c r="E48" s="2">
        <v>0</v>
      </c>
      <c r="F48" s="2">
        <v>50</v>
      </c>
      <c r="G48" s="2">
        <v>0</v>
      </c>
      <c r="H48" s="4">
        <f t="shared" si="0"/>
        <v>0.94985535197685633</v>
      </c>
      <c r="I48" s="2">
        <f t="shared" si="1"/>
        <v>0</v>
      </c>
      <c r="J48" s="3">
        <f t="shared" si="2"/>
        <v>5.0144648023143681E-2</v>
      </c>
    </row>
    <row r="49" spans="1:10" x14ac:dyDescent="0.35">
      <c r="A49" s="2" t="s">
        <v>64</v>
      </c>
      <c r="B49" s="2">
        <v>1037</v>
      </c>
      <c r="C49" s="2">
        <v>989</v>
      </c>
      <c r="D49" s="2">
        <v>0</v>
      </c>
      <c r="E49" s="2">
        <v>0</v>
      </c>
      <c r="F49" s="2">
        <v>48</v>
      </c>
      <c r="G49" s="2">
        <v>0</v>
      </c>
      <c r="H49" s="4">
        <f t="shared" si="0"/>
        <v>0.95371263259402117</v>
      </c>
      <c r="I49" s="2">
        <f t="shared" si="1"/>
        <v>0</v>
      </c>
      <c r="J49" s="3">
        <f t="shared" si="2"/>
        <v>4.6287367405978788E-2</v>
      </c>
    </row>
    <row r="50" spans="1:10" x14ac:dyDescent="0.35">
      <c r="A50" s="2" t="s">
        <v>65</v>
      </c>
      <c r="B50" s="2">
        <v>1037</v>
      </c>
      <c r="C50" s="2">
        <v>990</v>
      </c>
      <c r="D50" s="2">
        <v>0</v>
      </c>
      <c r="E50" s="2">
        <v>0</v>
      </c>
      <c r="F50" s="2">
        <v>47</v>
      </c>
      <c r="G50" s="2">
        <v>0</v>
      </c>
      <c r="H50" s="4">
        <f t="shared" si="0"/>
        <v>0.95467695274831244</v>
      </c>
      <c r="I50" s="2">
        <f t="shared" si="1"/>
        <v>0</v>
      </c>
      <c r="J50" s="3">
        <f t="shared" si="2"/>
        <v>4.5323047251687558E-2</v>
      </c>
    </row>
    <row r="51" spans="1:10" x14ac:dyDescent="0.35">
      <c r="A51" s="2" t="s">
        <v>66</v>
      </c>
      <c r="B51" s="2">
        <v>1037</v>
      </c>
      <c r="C51" s="2">
        <v>953</v>
      </c>
      <c r="D51" s="2">
        <v>1</v>
      </c>
      <c r="E51" s="2">
        <v>0</v>
      </c>
      <c r="F51" s="2">
        <v>83</v>
      </c>
      <c r="G51" s="2">
        <v>0</v>
      </c>
      <c r="H51" s="4">
        <f t="shared" si="0"/>
        <v>0.91899710703953708</v>
      </c>
      <c r="I51" s="2">
        <f t="shared" si="1"/>
        <v>0</v>
      </c>
      <c r="J51" s="3">
        <f t="shared" si="2"/>
        <v>8.1002892960462869E-2</v>
      </c>
    </row>
    <row r="52" spans="1:10" x14ac:dyDescent="0.35">
      <c r="A52" s="2" t="s">
        <v>67</v>
      </c>
      <c r="B52" s="2">
        <v>1037</v>
      </c>
      <c r="C52" s="2">
        <v>985</v>
      </c>
      <c r="D52" s="2">
        <v>1</v>
      </c>
      <c r="E52" s="2">
        <v>0</v>
      </c>
      <c r="F52" s="2">
        <v>51</v>
      </c>
      <c r="G52" s="2">
        <v>0</v>
      </c>
      <c r="H52" s="4">
        <f t="shared" si="0"/>
        <v>0.94985535197685633</v>
      </c>
      <c r="I52" s="2">
        <f t="shared" si="1"/>
        <v>0</v>
      </c>
      <c r="J52" s="3">
        <f t="shared" si="2"/>
        <v>5.0144648023143681E-2</v>
      </c>
    </row>
    <row r="53" spans="1:10" x14ac:dyDescent="0.35">
      <c r="A53" s="2" t="s">
        <v>68</v>
      </c>
      <c r="B53" s="2">
        <v>1037</v>
      </c>
      <c r="C53" s="2">
        <v>987</v>
      </c>
      <c r="D53" s="2">
        <v>2</v>
      </c>
      <c r="E53" s="2">
        <v>0</v>
      </c>
      <c r="F53" s="2">
        <v>48</v>
      </c>
      <c r="G53" s="2">
        <v>0</v>
      </c>
      <c r="H53" s="4">
        <f t="shared" si="0"/>
        <v>0.95178399228543875</v>
      </c>
      <c r="I53" s="2">
        <f t="shared" si="1"/>
        <v>0</v>
      </c>
      <c r="J53" s="3">
        <f t="shared" si="2"/>
        <v>4.8216007714561235E-2</v>
      </c>
    </row>
    <row r="54" spans="1:10" x14ac:dyDescent="0.35">
      <c r="A54" s="2" t="s">
        <v>69</v>
      </c>
      <c r="B54" s="2">
        <v>1037</v>
      </c>
      <c r="C54" s="2">
        <v>989</v>
      </c>
      <c r="D54" s="2">
        <v>0</v>
      </c>
      <c r="E54" s="2">
        <v>1</v>
      </c>
      <c r="F54" s="2">
        <v>47</v>
      </c>
      <c r="G54" s="2">
        <v>0</v>
      </c>
      <c r="H54" s="4">
        <f t="shared" si="0"/>
        <v>0.95371263259402117</v>
      </c>
      <c r="I54" s="2">
        <f t="shared" si="1"/>
        <v>1.0111223458038423E-3</v>
      </c>
      <c r="J54" s="3">
        <f t="shared" si="2"/>
        <v>4.6287367405978788E-2</v>
      </c>
    </row>
    <row r="55" spans="1:10" x14ac:dyDescent="0.35">
      <c r="A55" s="2" t="s">
        <v>71</v>
      </c>
      <c r="B55" s="2">
        <v>1037</v>
      </c>
      <c r="C55" s="2">
        <v>976</v>
      </c>
      <c r="D55" s="2">
        <v>2</v>
      </c>
      <c r="E55" s="2">
        <v>0</v>
      </c>
      <c r="F55" s="2">
        <v>59</v>
      </c>
      <c r="G55" s="2">
        <v>0</v>
      </c>
      <c r="H55" s="4">
        <f t="shared" si="0"/>
        <v>0.94117647058823528</v>
      </c>
      <c r="I55" s="2">
        <f t="shared" si="1"/>
        <v>0</v>
      </c>
      <c r="J55" s="3">
        <f t="shared" si="2"/>
        <v>5.8823529411764705E-2</v>
      </c>
    </row>
    <row r="56" spans="1:10" x14ac:dyDescent="0.35">
      <c r="A56" s="2" t="s">
        <v>72</v>
      </c>
      <c r="B56" s="2">
        <v>1037</v>
      </c>
      <c r="C56" s="2">
        <v>988</v>
      </c>
      <c r="D56" s="2">
        <v>2</v>
      </c>
      <c r="E56" s="2">
        <v>0</v>
      </c>
      <c r="F56" s="2">
        <v>47</v>
      </c>
      <c r="G56" s="2">
        <v>0</v>
      </c>
      <c r="H56" s="4">
        <f t="shared" si="0"/>
        <v>0.95274831243973002</v>
      </c>
      <c r="I56" s="2">
        <f t="shared" si="1"/>
        <v>0</v>
      </c>
      <c r="J56" s="3">
        <f t="shared" si="2"/>
        <v>4.7251687560270011E-2</v>
      </c>
    </row>
    <row r="57" spans="1:10" x14ac:dyDescent="0.35">
      <c r="A57" s="2" t="s">
        <v>73</v>
      </c>
      <c r="B57" s="2">
        <v>1037</v>
      </c>
      <c r="C57" s="2">
        <v>981</v>
      </c>
      <c r="D57" s="2">
        <v>3</v>
      </c>
      <c r="E57" s="2">
        <v>0</v>
      </c>
      <c r="F57" s="2">
        <v>53</v>
      </c>
      <c r="G57" s="2">
        <v>0</v>
      </c>
      <c r="H57" s="4">
        <f t="shared" si="0"/>
        <v>0.94599807135969138</v>
      </c>
      <c r="I57" s="2">
        <f t="shared" si="1"/>
        <v>0</v>
      </c>
      <c r="J57" s="3">
        <f t="shared" si="2"/>
        <v>5.4001928640308582E-2</v>
      </c>
    </row>
    <row r="58" spans="1:10" x14ac:dyDescent="0.35">
      <c r="A58" s="2" t="s">
        <v>74</v>
      </c>
      <c r="B58" s="2">
        <v>1037</v>
      </c>
      <c r="C58" s="2">
        <v>990</v>
      </c>
      <c r="D58" s="2">
        <v>2</v>
      </c>
      <c r="E58" s="2">
        <v>0</v>
      </c>
      <c r="F58" s="2">
        <v>45</v>
      </c>
      <c r="G58" s="2">
        <v>0</v>
      </c>
      <c r="H58" s="4">
        <f t="shared" si="0"/>
        <v>0.95467695274831244</v>
      </c>
      <c r="I58" s="2">
        <f t="shared" si="1"/>
        <v>0</v>
      </c>
      <c r="J58" s="3">
        <f t="shared" si="2"/>
        <v>4.5323047251687558E-2</v>
      </c>
    </row>
    <row r="59" spans="1:10" x14ac:dyDescent="0.35">
      <c r="A59" s="2" t="s">
        <v>75</v>
      </c>
      <c r="B59" s="2">
        <v>1037</v>
      </c>
      <c r="C59" s="2">
        <v>986</v>
      </c>
      <c r="D59" s="2">
        <v>0</v>
      </c>
      <c r="E59" s="2">
        <v>0</v>
      </c>
      <c r="F59" s="2">
        <v>51</v>
      </c>
      <c r="G59" s="2">
        <v>0</v>
      </c>
      <c r="H59" s="4">
        <f t="shared" si="0"/>
        <v>0.95081967213114749</v>
      </c>
      <c r="I59" s="2">
        <f t="shared" si="1"/>
        <v>0</v>
      </c>
      <c r="J59" s="3">
        <f t="shared" si="2"/>
        <v>4.9180327868852458E-2</v>
      </c>
    </row>
    <row r="60" spans="1:10" x14ac:dyDescent="0.35">
      <c r="A60" s="2" t="s">
        <v>76</v>
      </c>
      <c r="B60" s="2">
        <v>1037</v>
      </c>
      <c r="C60" s="2">
        <v>985</v>
      </c>
      <c r="D60" s="2">
        <v>1</v>
      </c>
      <c r="E60" s="2">
        <v>0</v>
      </c>
      <c r="F60" s="2">
        <v>51</v>
      </c>
      <c r="G60" s="2">
        <v>0</v>
      </c>
      <c r="H60" s="4">
        <f t="shared" si="0"/>
        <v>0.94985535197685633</v>
      </c>
      <c r="I60" s="2">
        <f t="shared" si="1"/>
        <v>0</v>
      </c>
      <c r="J60" s="3">
        <f t="shared" si="2"/>
        <v>5.0144648023143681E-2</v>
      </c>
    </row>
    <row r="61" spans="1:10" x14ac:dyDescent="0.35">
      <c r="A61" s="2" t="s">
        <v>77</v>
      </c>
      <c r="B61" s="2">
        <v>1037</v>
      </c>
      <c r="C61" s="2">
        <v>984</v>
      </c>
      <c r="D61" s="2">
        <v>1</v>
      </c>
      <c r="E61" s="2">
        <v>0</v>
      </c>
      <c r="F61" s="2">
        <v>52</v>
      </c>
      <c r="G61" s="2">
        <v>0</v>
      </c>
      <c r="H61" s="4">
        <f t="shared" si="0"/>
        <v>0.94889103182256507</v>
      </c>
      <c r="I61" s="2">
        <f t="shared" si="1"/>
        <v>0</v>
      </c>
      <c r="J61" s="3">
        <f t="shared" si="2"/>
        <v>5.1108968177434912E-2</v>
      </c>
    </row>
    <row r="62" spans="1:10" x14ac:dyDescent="0.35">
      <c r="A62" s="2" t="s">
        <v>78</v>
      </c>
      <c r="B62" s="2">
        <v>1037</v>
      </c>
      <c r="C62" s="2">
        <v>973</v>
      </c>
      <c r="D62" s="2">
        <v>1</v>
      </c>
      <c r="E62" s="2">
        <v>0</v>
      </c>
      <c r="F62" s="2">
        <v>63</v>
      </c>
      <c r="G62" s="2">
        <v>0</v>
      </c>
      <c r="H62" s="4">
        <f t="shared" si="0"/>
        <v>0.9382835101253616</v>
      </c>
      <c r="I62" s="2">
        <f t="shared" si="1"/>
        <v>0</v>
      </c>
      <c r="J62" s="3">
        <f t="shared" si="2"/>
        <v>6.1716489874638382E-2</v>
      </c>
    </row>
    <row r="63" spans="1:10" x14ac:dyDescent="0.35">
      <c r="A63" s="2" t="s">
        <v>79</v>
      </c>
      <c r="B63" s="2">
        <v>1037</v>
      </c>
      <c r="C63" s="2">
        <v>981</v>
      </c>
      <c r="D63" s="2">
        <v>1</v>
      </c>
      <c r="E63" s="2">
        <v>0</v>
      </c>
      <c r="F63" s="2">
        <v>55</v>
      </c>
      <c r="G63" s="2">
        <v>0</v>
      </c>
      <c r="H63" s="4">
        <f t="shared" si="0"/>
        <v>0.94599807135969138</v>
      </c>
      <c r="I63" s="2">
        <f t="shared" si="1"/>
        <v>0</v>
      </c>
      <c r="J63" s="3">
        <f t="shared" si="2"/>
        <v>5.4001928640308582E-2</v>
      </c>
    </row>
    <row r="64" spans="1:10" x14ac:dyDescent="0.35">
      <c r="A64" s="2" t="s">
        <v>80</v>
      </c>
      <c r="B64" s="2">
        <v>1037</v>
      </c>
      <c r="C64" s="2">
        <v>979</v>
      </c>
      <c r="D64" s="2">
        <v>0</v>
      </c>
      <c r="E64" s="2">
        <v>0</v>
      </c>
      <c r="F64" s="2">
        <v>58</v>
      </c>
      <c r="G64" s="2">
        <v>0</v>
      </c>
      <c r="H64" s="4">
        <f t="shared" si="0"/>
        <v>0.94406943105110896</v>
      </c>
      <c r="I64" s="2">
        <f t="shared" si="1"/>
        <v>0</v>
      </c>
      <c r="J64" s="3">
        <f t="shared" si="2"/>
        <v>5.5930568948891035E-2</v>
      </c>
    </row>
    <row r="65" spans="1:10" x14ac:dyDescent="0.35">
      <c r="A65" s="2" t="s">
        <v>82</v>
      </c>
      <c r="B65" s="2">
        <v>1037</v>
      </c>
      <c r="C65" s="2">
        <v>982</v>
      </c>
      <c r="D65" s="2">
        <v>2</v>
      </c>
      <c r="E65" s="2">
        <v>0</v>
      </c>
      <c r="F65" s="2">
        <v>53</v>
      </c>
      <c r="G65" s="2">
        <v>0</v>
      </c>
      <c r="H65" s="4">
        <f t="shared" si="0"/>
        <v>0.94696239151398265</v>
      </c>
      <c r="I65" s="2">
        <f t="shared" si="1"/>
        <v>0</v>
      </c>
      <c r="J65" s="3">
        <f t="shared" si="2"/>
        <v>5.3037608486017358E-2</v>
      </c>
    </row>
    <row r="66" spans="1:10" x14ac:dyDescent="0.35">
      <c r="A66" s="2" t="s">
        <v>83</v>
      </c>
      <c r="B66" s="2">
        <v>1037</v>
      </c>
      <c r="C66" s="2">
        <v>974</v>
      </c>
      <c r="D66" s="2">
        <v>1</v>
      </c>
      <c r="E66" s="2">
        <v>0</v>
      </c>
      <c r="F66" s="2">
        <v>62</v>
      </c>
      <c r="G66" s="2">
        <v>0</v>
      </c>
      <c r="H66" s="4">
        <f t="shared" si="0"/>
        <v>0.93924783027965286</v>
      </c>
      <c r="I66" s="2">
        <f t="shared" si="1"/>
        <v>0</v>
      </c>
      <c r="J66" s="3">
        <f t="shared" si="2"/>
        <v>6.0752169720347159E-2</v>
      </c>
    </row>
    <row r="67" spans="1:10" x14ac:dyDescent="0.35">
      <c r="A67" s="2" t="s">
        <v>85</v>
      </c>
      <c r="B67" s="2">
        <v>1037</v>
      </c>
      <c r="C67" s="2">
        <v>988</v>
      </c>
      <c r="D67" s="2">
        <v>0</v>
      </c>
      <c r="E67" s="2">
        <v>0</v>
      </c>
      <c r="F67" s="2">
        <v>49</v>
      </c>
      <c r="G67" s="2">
        <v>0</v>
      </c>
      <c r="H67" s="4">
        <f t="shared" ref="H67:H91" si="3">C67/B67</f>
        <v>0.95274831243973002</v>
      </c>
      <c r="I67" s="2">
        <f t="shared" ref="I67:I91" si="4">E67/C67</f>
        <v>0</v>
      </c>
      <c r="J67" s="3">
        <f t="shared" ref="J67:J91" si="5">(D67+E67+F67)/B67</f>
        <v>4.7251687560270011E-2</v>
      </c>
    </row>
    <row r="68" spans="1:10" x14ac:dyDescent="0.35">
      <c r="A68" s="2" t="s">
        <v>86</v>
      </c>
      <c r="B68" s="2">
        <v>1037</v>
      </c>
      <c r="C68" s="2">
        <v>982</v>
      </c>
      <c r="D68" s="2">
        <v>3</v>
      </c>
      <c r="E68" s="2">
        <v>0</v>
      </c>
      <c r="F68" s="2">
        <v>52</v>
      </c>
      <c r="G68" s="2">
        <v>0</v>
      </c>
      <c r="H68" s="4">
        <f t="shared" si="3"/>
        <v>0.94696239151398265</v>
      </c>
      <c r="I68" s="2">
        <f t="shared" si="4"/>
        <v>0</v>
      </c>
      <c r="J68" s="3">
        <f t="shared" si="5"/>
        <v>5.3037608486017358E-2</v>
      </c>
    </row>
    <row r="69" spans="1:10" x14ac:dyDescent="0.35">
      <c r="A69" s="2" t="s">
        <v>87</v>
      </c>
      <c r="B69" s="2">
        <v>1037</v>
      </c>
      <c r="C69" s="2">
        <v>982</v>
      </c>
      <c r="D69" s="2">
        <v>0</v>
      </c>
      <c r="E69" s="2">
        <v>0</v>
      </c>
      <c r="F69" s="2">
        <v>55</v>
      </c>
      <c r="G69" s="2">
        <v>0</v>
      </c>
      <c r="H69" s="4">
        <f t="shared" si="3"/>
        <v>0.94696239151398265</v>
      </c>
      <c r="I69" s="2">
        <f t="shared" si="4"/>
        <v>0</v>
      </c>
      <c r="J69" s="3">
        <f t="shared" si="5"/>
        <v>5.3037608486017358E-2</v>
      </c>
    </row>
    <row r="70" spans="1:10" x14ac:dyDescent="0.35">
      <c r="A70" s="2" t="s">
        <v>88</v>
      </c>
      <c r="B70" s="2">
        <v>1037</v>
      </c>
      <c r="C70" s="2">
        <v>989</v>
      </c>
      <c r="D70" s="2">
        <v>0</v>
      </c>
      <c r="E70" s="2">
        <v>0</v>
      </c>
      <c r="F70" s="2">
        <v>48</v>
      </c>
      <c r="G70" s="2">
        <v>0</v>
      </c>
      <c r="H70" s="4">
        <f t="shared" si="3"/>
        <v>0.95371263259402117</v>
      </c>
      <c r="I70" s="2">
        <f t="shared" si="4"/>
        <v>0</v>
      </c>
      <c r="J70" s="3">
        <f t="shared" si="5"/>
        <v>4.6287367405978788E-2</v>
      </c>
    </row>
    <row r="71" spans="1:10" x14ac:dyDescent="0.35">
      <c r="A71" s="2" t="s">
        <v>89</v>
      </c>
      <c r="B71" s="2">
        <v>1037</v>
      </c>
      <c r="C71" s="2">
        <v>979</v>
      </c>
      <c r="D71" s="2">
        <v>1</v>
      </c>
      <c r="E71" s="2">
        <v>0</v>
      </c>
      <c r="F71" s="2">
        <v>57</v>
      </c>
      <c r="G71" s="2">
        <v>0</v>
      </c>
      <c r="H71" s="4">
        <f t="shared" si="3"/>
        <v>0.94406943105110896</v>
      </c>
      <c r="I71" s="2">
        <f t="shared" si="4"/>
        <v>0</v>
      </c>
      <c r="J71" s="3">
        <f t="shared" si="5"/>
        <v>5.5930568948891035E-2</v>
      </c>
    </row>
    <row r="72" spans="1:10" x14ac:dyDescent="0.35">
      <c r="A72" s="2" t="s">
        <v>90</v>
      </c>
      <c r="B72" s="2">
        <v>1037</v>
      </c>
      <c r="C72" s="2">
        <v>978</v>
      </c>
      <c r="D72" s="2">
        <v>0</v>
      </c>
      <c r="E72" s="2">
        <v>0</v>
      </c>
      <c r="F72" s="2">
        <v>59</v>
      </c>
      <c r="G72" s="2">
        <v>0</v>
      </c>
      <c r="H72" s="4">
        <f t="shared" si="3"/>
        <v>0.9431051108968177</v>
      </c>
      <c r="I72" s="2">
        <f t="shared" si="4"/>
        <v>0</v>
      </c>
      <c r="J72" s="3">
        <f t="shared" si="5"/>
        <v>5.6894889103182258E-2</v>
      </c>
    </row>
    <row r="73" spans="1:10" x14ac:dyDescent="0.35">
      <c r="A73" s="2" t="s">
        <v>92</v>
      </c>
      <c r="B73" s="2">
        <v>1037</v>
      </c>
      <c r="C73" s="2">
        <v>987</v>
      </c>
      <c r="D73" s="2">
        <v>0</v>
      </c>
      <c r="E73" s="2">
        <v>0</v>
      </c>
      <c r="F73" s="2">
        <v>50</v>
      </c>
      <c r="G73" s="2">
        <v>0</v>
      </c>
      <c r="H73" s="4">
        <f t="shared" si="3"/>
        <v>0.95178399228543875</v>
      </c>
      <c r="I73" s="2">
        <f t="shared" si="4"/>
        <v>0</v>
      </c>
      <c r="J73" s="3">
        <f t="shared" si="5"/>
        <v>4.8216007714561235E-2</v>
      </c>
    </row>
    <row r="74" spans="1:10" x14ac:dyDescent="0.35">
      <c r="A74" s="2" t="s">
        <v>93</v>
      </c>
      <c r="B74" s="2">
        <v>1037</v>
      </c>
      <c r="C74" s="2">
        <v>990</v>
      </c>
      <c r="D74" s="2">
        <v>0</v>
      </c>
      <c r="E74" s="2">
        <v>0</v>
      </c>
      <c r="F74" s="2">
        <v>47</v>
      </c>
      <c r="G74" s="2">
        <v>0</v>
      </c>
      <c r="H74" s="4">
        <f t="shared" si="3"/>
        <v>0.95467695274831244</v>
      </c>
      <c r="I74" s="2">
        <f t="shared" si="4"/>
        <v>0</v>
      </c>
      <c r="J74" s="3">
        <f t="shared" si="5"/>
        <v>4.5323047251687558E-2</v>
      </c>
    </row>
    <row r="75" spans="1:10" x14ac:dyDescent="0.35">
      <c r="A75" s="2" t="s">
        <v>94</v>
      </c>
      <c r="B75" s="2">
        <v>1037</v>
      </c>
      <c r="C75" s="2">
        <v>987</v>
      </c>
      <c r="D75" s="2">
        <v>2</v>
      </c>
      <c r="E75" s="2">
        <v>0</v>
      </c>
      <c r="F75" s="2">
        <v>48</v>
      </c>
      <c r="G75" s="2">
        <v>0</v>
      </c>
      <c r="H75" s="4">
        <f t="shared" si="3"/>
        <v>0.95178399228543875</v>
      </c>
      <c r="I75" s="2">
        <f t="shared" si="4"/>
        <v>0</v>
      </c>
      <c r="J75" s="3">
        <f t="shared" si="5"/>
        <v>4.8216007714561235E-2</v>
      </c>
    </row>
    <row r="76" spans="1:10" x14ac:dyDescent="0.35">
      <c r="A76" s="2" t="s">
        <v>95</v>
      </c>
      <c r="B76" s="2">
        <v>1037</v>
      </c>
      <c r="C76" s="2">
        <v>991</v>
      </c>
      <c r="D76" s="2">
        <v>1</v>
      </c>
      <c r="E76" s="2">
        <v>0</v>
      </c>
      <c r="F76" s="2">
        <v>45</v>
      </c>
      <c r="G76" s="2">
        <v>0</v>
      </c>
      <c r="H76" s="4">
        <f t="shared" si="3"/>
        <v>0.9556412729026037</v>
      </c>
      <c r="I76" s="2">
        <f t="shared" si="4"/>
        <v>0</v>
      </c>
      <c r="J76" s="3">
        <f t="shared" si="5"/>
        <v>4.4358727097396335E-2</v>
      </c>
    </row>
    <row r="77" spans="1:10" x14ac:dyDescent="0.35">
      <c r="A77" s="2" t="s">
        <v>96</v>
      </c>
      <c r="B77" s="2">
        <v>1037</v>
      </c>
      <c r="C77" s="2">
        <v>986</v>
      </c>
      <c r="D77" s="2">
        <v>0</v>
      </c>
      <c r="E77" s="2">
        <v>0</v>
      </c>
      <c r="F77" s="2">
        <v>51</v>
      </c>
      <c r="G77" s="2">
        <v>0</v>
      </c>
      <c r="H77" s="4">
        <f t="shared" si="3"/>
        <v>0.95081967213114749</v>
      </c>
      <c r="I77" s="2">
        <f t="shared" si="4"/>
        <v>0</v>
      </c>
      <c r="J77" s="3">
        <f t="shared" si="5"/>
        <v>4.9180327868852458E-2</v>
      </c>
    </row>
    <row r="78" spans="1:10" x14ac:dyDescent="0.35">
      <c r="A78" s="2" t="s">
        <v>97</v>
      </c>
      <c r="B78" s="2">
        <v>1037</v>
      </c>
      <c r="C78" s="2">
        <v>982</v>
      </c>
      <c r="D78" s="2">
        <v>2</v>
      </c>
      <c r="E78" s="2">
        <v>0</v>
      </c>
      <c r="F78" s="2">
        <v>53</v>
      </c>
      <c r="G78" s="2">
        <v>0</v>
      </c>
      <c r="H78" s="4">
        <f t="shared" si="3"/>
        <v>0.94696239151398265</v>
      </c>
      <c r="I78" s="2">
        <f t="shared" si="4"/>
        <v>0</v>
      </c>
      <c r="J78" s="3">
        <f t="shared" si="5"/>
        <v>5.3037608486017358E-2</v>
      </c>
    </row>
    <row r="79" spans="1:10" x14ac:dyDescent="0.35">
      <c r="A79" s="2" t="s">
        <v>98</v>
      </c>
      <c r="B79" s="2">
        <v>1037</v>
      </c>
      <c r="C79" s="2">
        <v>987</v>
      </c>
      <c r="D79" s="2">
        <v>0</v>
      </c>
      <c r="E79" s="2">
        <v>0</v>
      </c>
      <c r="F79" s="2">
        <v>50</v>
      </c>
      <c r="G79" s="2">
        <v>0</v>
      </c>
      <c r="H79" s="4">
        <f t="shared" si="3"/>
        <v>0.95178399228543875</v>
      </c>
      <c r="I79" s="2">
        <f t="shared" si="4"/>
        <v>0</v>
      </c>
      <c r="J79" s="3">
        <f t="shared" si="5"/>
        <v>4.8216007714561235E-2</v>
      </c>
    </row>
    <row r="80" spans="1:10" x14ac:dyDescent="0.35">
      <c r="A80" s="2" t="s">
        <v>99</v>
      </c>
      <c r="B80" s="2">
        <v>1037</v>
      </c>
      <c r="C80" s="2">
        <v>979</v>
      </c>
      <c r="D80" s="2">
        <v>0</v>
      </c>
      <c r="E80" s="2">
        <v>0</v>
      </c>
      <c r="F80" s="2">
        <v>58</v>
      </c>
      <c r="G80" s="2">
        <v>0</v>
      </c>
      <c r="H80" s="4">
        <f t="shared" si="3"/>
        <v>0.94406943105110896</v>
      </c>
      <c r="I80" s="2">
        <f t="shared" si="4"/>
        <v>0</v>
      </c>
      <c r="J80" s="3">
        <f t="shared" si="5"/>
        <v>5.5930568948891035E-2</v>
      </c>
    </row>
    <row r="81" spans="1:10" x14ac:dyDescent="0.35">
      <c r="A81" s="2" t="s">
        <v>100</v>
      </c>
      <c r="B81" s="2">
        <v>1037</v>
      </c>
      <c r="C81" s="2">
        <v>974</v>
      </c>
      <c r="D81" s="2">
        <v>3</v>
      </c>
      <c r="E81" s="2">
        <v>0</v>
      </c>
      <c r="F81" s="2">
        <v>60</v>
      </c>
      <c r="G81" s="2">
        <v>0</v>
      </c>
      <c r="H81" s="4">
        <f t="shared" si="3"/>
        <v>0.93924783027965286</v>
      </c>
      <c r="I81" s="2">
        <f t="shared" si="4"/>
        <v>0</v>
      </c>
      <c r="J81" s="3">
        <f t="shared" si="5"/>
        <v>6.0752169720347159E-2</v>
      </c>
    </row>
    <row r="82" spans="1:10" x14ac:dyDescent="0.35">
      <c r="A82" s="2" t="s">
        <v>101</v>
      </c>
      <c r="B82" s="2">
        <v>1037</v>
      </c>
      <c r="C82" s="2">
        <v>980</v>
      </c>
      <c r="D82" s="2">
        <v>0</v>
      </c>
      <c r="E82" s="2">
        <v>0</v>
      </c>
      <c r="F82" s="2">
        <v>57</v>
      </c>
      <c r="G82" s="2">
        <v>0</v>
      </c>
      <c r="H82" s="4">
        <f t="shared" si="3"/>
        <v>0.94503375120540023</v>
      </c>
      <c r="I82" s="2">
        <f t="shared" si="4"/>
        <v>0</v>
      </c>
      <c r="J82" s="3">
        <f t="shared" si="5"/>
        <v>5.4966248794599805E-2</v>
      </c>
    </row>
    <row r="83" spans="1:10" x14ac:dyDescent="0.35">
      <c r="A83" s="2" t="s">
        <v>102</v>
      </c>
      <c r="B83" s="2">
        <v>1037</v>
      </c>
      <c r="C83" s="2">
        <v>990</v>
      </c>
      <c r="D83" s="2">
        <v>1</v>
      </c>
      <c r="E83" s="2">
        <v>0</v>
      </c>
      <c r="F83" s="2">
        <v>46</v>
      </c>
      <c r="G83" s="2">
        <v>0</v>
      </c>
      <c r="H83" s="4">
        <f t="shared" si="3"/>
        <v>0.95467695274831244</v>
      </c>
      <c r="I83" s="2">
        <f t="shared" si="4"/>
        <v>0</v>
      </c>
      <c r="J83" s="3">
        <f t="shared" si="5"/>
        <v>4.5323047251687558E-2</v>
      </c>
    </row>
    <row r="84" spans="1:10" x14ac:dyDescent="0.35">
      <c r="A84" s="2" t="s">
        <v>103</v>
      </c>
      <c r="B84" s="2">
        <v>1037</v>
      </c>
      <c r="C84" s="2">
        <v>981</v>
      </c>
      <c r="D84" s="2">
        <v>0</v>
      </c>
      <c r="E84" s="2">
        <v>0</v>
      </c>
      <c r="F84" s="2">
        <v>56</v>
      </c>
      <c r="G84" s="2">
        <v>0</v>
      </c>
      <c r="H84" s="4">
        <f t="shared" si="3"/>
        <v>0.94599807135969138</v>
      </c>
      <c r="I84" s="2">
        <f t="shared" si="4"/>
        <v>0</v>
      </c>
      <c r="J84" s="3">
        <f t="shared" si="5"/>
        <v>5.4001928640308582E-2</v>
      </c>
    </row>
    <row r="85" spans="1:10" x14ac:dyDescent="0.35">
      <c r="A85" s="2" t="s">
        <v>104</v>
      </c>
      <c r="B85" s="2">
        <v>1037</v>
      </c>
      <c r="C85" s="2">
        <v>990</v>
      </c>
      <c r="D85" s="2">
        <v>0</v>
      </c>
      <c r="E85" s="2">
        <v>0</v>
      </c>
      <c r="F85" s="2">
        <v>47</v>
      </c>
      <c r="G85" s="2">
        <v>0</v>
      </c>
      <c r="H85" s="4">
        <f t="shared" si="3"/>
        <v>0.95467695274831244</v>
      </c>
      <c r="I85" s="2">
        <f t="shared" si="4"/>
        <v>0</v>
      </c>
      <c r="J85" s="3">
        <f t="shared" si="5"/>
        <v>4.5323047251687558E-2</v>
      </c>
    </row>
    <row r="86" spans="1:10" x14ac:dyDescent="0.35">
      <c r="A86" s="2" t="s">
        <v>105</v>
      </c>
      <c r="B86" s="2">
        <v>1037</v>
      </c>
      <c r="C86" s="2">
        <v>985</v>
      </c>
      <c r="D86" s="2">
        <v>3</v>
      </c>
      <c r="E86" s="2">
        <v>0</v>
      </c>
      <c r="F86" s="2">
        <v>49</v>
      </c>
      <c r="G86" s="2">
        <v>0</v>
      </c>
      <c r="H86" s="4">
        <f t="shared" si="3"/>
        <v>0.94985535197685633</v>
      </c>
      <c r="I86" s="2">
        <f t="shared" si="4"/>
        <v>0</v>
      </c>
      <c r="J86" s="3">
        <f t="shared" si="5"/>
        <v>5.0144648023143681E-2</v>
      </c>
    </row>
    <row r="87" spans="1:10" x14ac:dyDescent="0.35">
      <c r="A87" s="2" t="s">
        <v>106</v>
      </c>
      <c r="B87" s="2">
        <v>1037</v>
      </c>
      <c r="C87" s="2">
        <v>985</v>
      </c>
      <c r="D87" s="2">
        <v>0</v>
      </c>
      <c r="E87" s="2">
        <v>0</v>
      </c>
      <c r="F87" s="2">
        <v>52</v>
      </c>
      <c r="G87" s="2">
        <v>0</v>
      </c>
      <c r="H87" s="4">
        <f t="shared" si="3"/>
        <v>0.94985535197685633</v>
      </c>
      <c r="I87" s="2">
        <f t="shared" si="4"/>
        <v>0</v>
      </c>
      <c r="J87" s="3">
        <f t="shared" si="5"/>
        <v>5.0144648023143681E-2</v>
      </c>
    </row>
    <row r="88" spans="1:10" x14ac:dyDescent="0.35">
      <c r="A88" s="2" t="s">
        <v>107</v>
      </c>
      <c r="B88" s="2">
        <v>1037</v>
      </c>
      <c r="C88" s="2">
        <v>978</v>
      </c>
      <c r="D88" s="2">
        <v>1</v>
      </c>
      <c r="E88" s="2">
        <v>0</v>
      </c>
      <c r="F88" s="2">
        <v>58</v>
      </c>
      <c r="G88" s="2">
        <v>0</v>
      </c>
      <c r="H88" s="4">
        <f t="shared" si="3"/>
        <v>0.9431051108968177</v>
      </c>
      <c r="I88" s="2">
        <f t="shared" si="4"/>
        <v>0</v>
      </c>
      <c r="J88" s="3">
        <f t="shared" si="5"/>
        <v>5.6894889103182258E-2</v>
      </c>
    </row>
    <row r="89" spans="1:10" x14ac:dyDescent="0.35">
      <c r="A89" s="2" t="s">
        <v>108</v>
      </c>
      <c r="B89" s="2">
        <v>1037</v>
      </c>
      <c r="C89" s="2">
        <v>977</v>
      </c>
      <c r="D89" s="2">
        <v>1</v>
      </c>
      <c r="E89" s="2">
        <v>0</v>
      </c>
      <c r="F89" s="2">
        <v>59</v>
      </c>
      <c r="G89" s="2">
        <v>0</v>
      </c>
      <c r="H89" s="4">
        <f t="shared" si="3"/>
        <v>0.94214079074252655</v>
      </c>
      <c r="I89" s="2">
        <f t="shared" si="4"/>
        <v>0</v>
      </c>
      <c r="J89" s="3">
        <f t="shared" si="5"/>
        <v>5.7859209257473482E-2</v>
      </c>
    </row>
    <row r="90" spans="1:10" x14ac:dyDescent="0.35">
      <c r="A90" s="2" t="s">
        <v>109</v>
      </c>
      <c r="B90" s="2">
        <v>1037</v>
      </c>
      <c r="C90" s="2">
        <v>970</v>
      </c>
      <c r="D90" s="2">
        <v>2</v>
      </c>
      <c r="E90" s="2">
        <v>0</v>
      </c>
      <c r="F90" s="2">
        <v>65</v>
      </c>
      <c r="G90" s="2">
        <v>0</v>
      </c>
      <c r="H90" s="4">
        <f t="shared" si="3"/>
        <v>0.93539054966248791</v>
      </c>
      <c r="I90" s="2">
        <f t="shared" si="4"/>
        <v>0</v>
      </c>
      <c r="J90" s="3">
        <f t="shared" si="5"/>
        <v>6.4609450337512059E-2</v>
      </c>
    </row>
    <row r="91" spans="1:10" x14ac:dyDescent="0.35">
      <c r="A91" s="2" t="s">
        <v>110</v>
      </c>
      <c r="B91" s="2">
        <v>1037</v>
      </c>
      <c r="C91" s="2">
        <v>987</v>
      </c>
      <c r="D91" s="2">
        <v>1</v>
      </c>
      <c r="E91" s="2">
        <v>0</v>
      </c>
      <c r="F91" s="2">
        <v>49</v>
      </c>
      <c r="G91" s="2">
        <v>0</v>
      </c>
      <c r="H91" s="4">
        <f t="shared" si="3"/>
        <v>0.95178399228543875</v>
      </c>
      <c r="I91" s="2">
        <f t="shared" si="4"/>
        <v>0</v>
      </c>
      <c r="J91" s="3">
        <f t="shared" si="5"/>
        <v>4.8216007714561235E-2</v>
      </c>
    </row>
    <row r="92" spans="1:10" x14ac:dyDescent="0.35">
      <c r="A92" s="2" t="s">
        <v>652</v>
      </c>
      <c r="J92">
        <f>AVERAGE(J2:J91)</f>
        <v>5.2426872388299572E-2</v>
      </c>
    </row>
    <row r="93" spans="1:10" x14ac:dyDescent="0.35">
      <c r="A93" s="2" t="s">
        <v>653</v>
      </c>
      <c r="J93" s="5">
        <f>MEDIAN(J2:J91)</f>
        <v>5.06268081002893E-2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3"/>
  <sheetViews>
    <sheetView workbookViewId="0">
      <pane xSplit="1" ySplit="1" topLeftCell="E71" activePane="bottomRight" state="frozen"/>
      <selection pane="topRight"/>
      <selection pane="bottomLeft"/>
      <selection pane="bottomRight" activeCell="H94" sqref="H94"/>
    </sheetView>
  </sheetViews>
  <sheetFormatPr defaultRowHeight="14.5" x14ac:dyDescent="0.35"/>
  <cols>
    <col min="1" max="1" width="32" customWidth="1"/>
    <col min="2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>
        <v>1006</v>
      </c>
      <c r="C2" s="2">
        <v>975</v>
      </c>
      <c r="D2" s="2">
        <v>0</v>
      </c>
      <c r="E2" s="2">
        <v>0</v>
      </c>
      <c r="F2" s="2">
        <v>31</v>
      </c>
      <c r="G2" s="2">
        <v>0</v>
      </c>
      <c r="H2" s="2" t="s">
        <v>111</v>
      </c>
      <c r="I2" s="2" t="s">
        <v>11</v>
      </c>
      <c r="J2" s="3">
        <f>(D2+E2+F2)/B2</f>
        <v>3.0815109343936383E-2</v>
      </c>
    </row>
    <row r="3" spans="1:10" x14ac:dyDescent="0.35">
      <c r="A3" s="2" t="s">
        <v>12</v>
      </c>
      <c r="B3" s="2">
        <v>1006</v>
      </c>
      <c r="C3" s="2">
        <v>886</v>
      </c>
      <c r="D3" s="2">
        <v>0</v>
      </c>
      <c r="E3" s="2">
        <v>0</v>
      </c>
      <c r="F3" s="2">
        <v>120</v>
      </c>
      <c r="G3" s="2">
        <v>0</v>
      </c>
      <c r="H3" s="2" t="s">
        <v>112</v>
      </c>
      <c r="I3" s="2" t="s">
        <v>11</v>
      </c>
      <c r="J3" s="3">
        <f t="shared" ref="J3:J66" si="0">(D3+E3+F3)/B3</f>
        <v>0.11928429423459244</v>
      </c>
    </row>
    <row r="4" spans="1:10" x14ac:dyDescent="0.35">
      <c r="A4" s="2" t="s">
        <v>13</v>
      </c>
      <c r="B4" s="2">
        <v>1006</v>
      </c>
      <c r="C4" s="2">
        <v>866</v>
      </c>
      <c r="D4" s="2">
        <v>1</v>
      </c>
      <c r="E4" s="2">
        <v>0</v>
      </c>
      <c r="F4" s="2">
        <v>139</v>
      </c>
      <c r="G4" s="2">
        <v>0</v>
      </c>
      <c r="H4" s="2" t="s">
        <v>113</v>
      </c>
      <c r="I4" s="2" t="s">
        <v>11</v>
      </c>
      <c r="J4" s="3">
        <f t="shared" si="0"/>
        <v>0.13916500994035785</v>
      </c>
    </row>
    <row r="5" spans="1:10" x14ac:dyDescent="0.35">
      <c r="A5" s="2" t="s">
        <v>14</v>
      </c>
      <c r="B5" s="2">
        <v>1006</v>
      </c>
      <c r="C5" s="2">
        <v>940</v>
      </c>
      <c r="D5" s="2">
        <v>0</v>
      </c>
      <c r="E5" s="2">
        <v>0</v>
      </c>
      <c r="F5" s="2">
        <v>66</v>
      </c>
      <c r="G5" s="2">
        <v>0</v>
      </c>
      <c r="H5" s="2" t="s">
        <v>114</v>
      </c>
      <c r="I5" s="2" t="s">
        <v>11</v>
      </c>
      <c r="J5" s="3">
        <f t="shared" si="0"/>
        <v>6.560636182902585E-2</v>
      </c>
    </row>
    <row r="6" spans="1:10" x14ac:dyDescent="0.35">
      <c r="A6" s="2" t="s">
        <v>16</v>
      </c>
      <c r="B6" s="2">
        <v>1006</v>
      </c>
      <c r="C6" s="2">
        <v>856</v>
      </c>
      <c r="D6" s="2">
        <v>2</v>
      </c>
      <c r="E6" s="2">
        <v>0</v>
      </c>
      <c r="F6" s="2">
        <v>148</v>
      </c>
      <c r="G6" s="2">
        <v>0</v>
      </c>
      <c r="H6" s="2" t="s">
        <v>115</v>
      </c>
      <c r="I6" s="2" t="s">
        <v>11</v>
      </c>
      <c r="J6" s="3">
        <f t="shared" si="0"/>
        <v>0.14910536779324055</v>
      </c>
    </row>
    <row r="7" spans="1:10" x14ac:dyDescent="0.35">
      <c r="A7" s="2" t="s">
        <v>18</v>
      </c>
      <c r="B7" s="2">
        <v>1006</v>
      </c>
      <c r="C7" s="2">
        <v>885</v>
      </c>
      <c r="D7" s="2">
        <v>0</v>
      </c>
      <c r="E7" s="2">
        <v>0</v>
      </c>
      <c r="F7" s="2">
        <v>121</v>
      </c>
      <c r="G7" s="2">
        <v>0</v>
      </c>
      <c r="H7" s="2" t="s">
        <v>116</v>
      </c>
      <c r="I7" s="2" t="s">
        <v>11</v>
      </c>
      <c r="J7" s="3">
        <f t="shared" si="0"/>
        <v>0.12027833001988071</v>
      </c>
    </row>
    <row r="8" spans="1:10" x14ac:dyDescent="0.35">
      <c r="A8" s="2" t="s">
        <v>19</v>
      </c>
      <c r="B8" s="2">
        <v>1006</v>
      </c>
      <c r="C8" s="2">
        <v>891</v>
      </c>
      <c r="D8" s="2">
        <v>1</v>
      </c>
      <c r="E8" s="2">
        <v>0</v>
      </c>
      <c r="F8" s="2">
        <v>114</v>
      </c>
      <c r="G8" s="2">
        <v>0</v>
      </c>
      <c r="H8" s="2" t="s">
        <v>117</v>
      </c>
      <c r="I8" s="2" t="s">
        <v>11</v>
      </c>
      <c r="J8" s="3">
        <f t="shared" si="0"/>
        <v>0.1143141153081511</v>
      </c>
    </row>
    <row r="9" spans="1:10" x14ac:dyDescent="0.35">
      <c r="A9" s="2" t="s">
        <v>20</v>
      </c>
      <c r="B9" s="2">
        <v>1006</v>
      </c>
      <c r="C9" s="2">
        <v>878</v>
      </c>
      <c r="D9" s="2">
        <v>0</v>
      </c>
      <c r="E9" s="2">
        <v>0</v>
      </c>
      <c r="F9" s="2">
        <v>128</v>
      </c>
      <c r="G9" s="2">
        <v>0</v>
      </c>
      <c r="H9" s="2" t="s">
        <v>118</v>
      </c>
      <c r="I9" s="2" t="s">
        <v>11</v>
      </c>
      <c r="J9" s="3">
        <f t="shared" si="0"/>
        <v>0.1272365805168986</v>
      </c>
    </row>
    <row r="10" spans="1:10" x14ac:dyDescent="0.35">
      <c r="A10" s="2" t="s">
        <v>21</v>
      </c>
      <c r="B10" s="2">
        <v>1006</v>
      </c>
      <c r="C10" s="2">
        <v>871</v>
      </c>
      <c r="D10" s="2">
        <v>1</v>
      </c>
      <c r="E10" s="2">
        <v>0</v>
      </c>
      <c r="F10" s="2">
        <v>134</v>
      </c>
      <c r="G10" s="2">
        <v>0</v>
      </c>
      <c r="H10" s="2" t="s">
        <v>119</v>
      </c>
      <c r="I10" s="2" t="s">
        <v>11</v>
      </c>
      <c r="J10" s="3">
        <f t="shared" si="0"/>
        <v>0.13419483101391649</v>
      </c>
    </row>
    <row r="11" spans="1:10" x14ac:dyDescent="0.35">
      <c r="A11" s="2" t="s">
        <v>22</v>
      </c>
      <c r="B11" s="2">
        <v>1006</v>
      </c>
      <c r="C11" s="2">
        <v>613</v>
      </c>
      <c r="D11" s="2">
        <v>0</v>
      </c>
      <c r="E11" s="2">
        <v>0</v>
      </c>
      <c r="F11" s="2">
        <v>393</v>
      </c>
      <c r="G11" s="2">
        <v>0</v>
      </c>
      <c r="H11" s="2" t="s">
        <v>120</v>
      </c>
      <c r="I11" s="2" t="s">
        <v>11</v>
      </c>
      <c r="J11" s="3">
        <f t="shared" si="0"/>
        <v>0.39065606361829025</v>
      </c>
    </row>
    <row r="12" spans="1:10" x14ac:dyDescent="0.35">
      <c r="A12" s="2" t="s">
        <v>23</v>
      </c>
      <c r="B12" s="2">
        <v>1006</v>
      </c>
      <c r="C12" s="2">
        <v>832</v>
      </c>
      <c r="D12" s="2">
        <v>0</v>
      </c>
      <c r="E12" s="2">
        <v>0</v>
      </c>
      <c r="F12" s="2">
        <v>174</v>
      </c>
      <c r="G12" s="2">
        <v>0</v>
      </c>
      <c r="H12" s="2" t="s">
        <v>121</v>
      </c>
      <c r="I12" s="2" t="s">
        <v>11</v>
      </c>
      <c r="J12" s="3">
        <f t="shared" si="0"/>
        <v>0.17296222664015903</v>
      </c>
    </row>
    <row r="13" spans="1:10" x14ac:dyDescent="0.35">
      <c r="A13" s="2" t="s">
        <v>24</v>
      </c>
      <c r="B13" s="2">
        <v>1006</v>
      </c>
      <c r="C13" s="2">
        <v>934</v>
      </c>
      <c r="D13" s="2">
        <v>3</v>
      </c>
      <c r="E13" s="2">
        <v>0</v>
      </c>
      <c r="F13" s="2">
        <v>69</v>
      </c>
      <c r="G13" s="2">
        <v>0</v>
      </c>
      <c r="H13" s="2" t="s">
        <v>122</v>
      </c>
      <c r="I13" s="2" t="s">
        <v>11</v>
      </c>
      <c r="J13" s="3">
        <f t="shared" si="0"/>
        <v>7.1570576540755465E-2</v>
      </c>
    </row>
    <row r="14" spans="1:10" x14ac:dyDescent="0.35">
      <c r="A14" s="2" t="s">
        <v>26</v>
      </c>
      <c r="B14" s="2">
        <v>1006</v>
      </c>
      <c r="C14" s="2">
        <v>930</v>
      </c>
      <c r="D14" s="2">
        <v>0</v>
      </c>
      <c r="E14" s="2">
        <v>0</v>
      </c>
      <c r="F14" s="2">
        <v>76</v>
      </c>
      <c r="G14" s="2">
        <v>0</v>
      </c>
      <c r="H14" s="2" t="s">
        <v>123</v>
      </c>
      <c r="I14" s="2" t="s">
        <v>11</v>
      </c>
      <c r="J14" s="3">
        <f t="shared" si="0"/>
        <v>7.5546719681908542E-2</v>
      </c>
    </row>
    <row r="15" spans="1:10" x14ac:dyDescent="0.35">
      <c r="A15" s="2" t="s">
        <v>28</v>
      </c>
      <c r="B15" s="2">
        <v>1006</v>
      </c>
      <c r="C15" s="2">
        <v>903</v>
      </c>
      <c r="D15" s="2">
        <v>0</v>
      </c>
      <c r="E15" s="2">
        <v>0</v>
      </c>
      <c r="F15" s="2">
        <v>103</v>
      </c>
      <c r="G15" s="2">
        <v>0</v>
      </c>
      <c r="H15" s="2" t="s">
        <v>124</v>
      </c>
      <c r="I15" s="2" t="s">
        <v>11</v>
      </c>
      <c r="J15" s="3">
        <f t="shared" si="0"/>
        <v>0.10238568588469185</v>
      </c>
    </row>
    <row r="16" spans="1:10" x14ac:dyDescent="0.35">
      <c r="A16" s="2" t="s">
        <v>29</v>
      </c>
      <c r="B16" s="2">
        <v>1006</v>
      </c>
      <c r="C16" s="2">
        <v>908</v>
      </c>
      <c r="D16" s="2">
        <v>0</v>
      </c>
      <c r="E16" s="2">
        <v>0</v>
      </c>
      <c r="F16" s="2">
        <v>98</v>
      </c>
      <c r="G16" s="2">
        <v>0</v>
      </c>
      <c r="H16" s="2" t="s">
        <v>125</v>
      </c>
      <c r="I16" s="2" t="s">
        <v>11</v>
      </c>
      <c r="J16" s="3">
        <f t="shared" si="0"/>
        <v>9.7415506958250492E-2</v>
      </c>
    </row>
    <row r="17" spans="1:10" x14ac:dyDescent="0.35">
      <c r="A17" s="2" t="s">
        <v>30</v>
      </c>
      <c r="B17" s="2">
        <v>1006</v>
      </c>
      <c r="C17" s="2">
        <v>951</v>
      </c>
      <c r="D17" s="2">
        <v>1</v>
      </c>
      <c r="E17" s="2">
        <v>0</v>
      </c>
      <c r="F17" s="2">
        <v>54</v>
      </c>
      <c r="G17" s="2">
        <v>0</v>
      </c>
      <c r="H17" s="2" t="s">
        <v>126</v>
      </c>
      <c r="I17" s="2" t="s">
        <v>11</v>
      </c>
      <c r="J17" s="3">
        <f t="shared" si="0"/>
        <v>5.4671968190854868E-2</v>
      </c>
    </row>
    <row r="18" spans="1:10" x14ac:dyDescent="0.35">
      <c r="A18" s="2" t="s">
        <v>31</v>
      </c>
      <c r="B18" s="2">
        <v>1006</v>
      </c>
      <c r="C18" s="2">
        <v>946</v>
      </c>
      <c r="D18" s="2">
        <v>0</v>
      </c>
      <c r="E18" s="2">
        <v>0</v>
      </c>
      <c r="F18" s="2">
        <v>60</v>
      </c>
      <c r="G18" s="2">
        <v>0</v>
      </c>
      <c r="H18" s="2" t="s">
        <v>127</v>
      </c>
      <c r="I18" s="2" t="s">
        <v>11</v>
      </c>
      <c r="J18" s="3">
        <f t="shared" si="0"/>
        <v>5.9642147117296221E-2</v>
      </c>
    </row>
    <row r="19" spans="1:10" x14ac:dyDescent="0.35">
      <c r="A19" s="2" t="s">
        <v>32</v>
      </c>
      <c r="B19" s="2">
        <v>1006</v>
      </c>
      <c r="C19" s="2">
        <v>933</v>
      </c>
      <c r="D19" s="2">
        <v>0</v>
      </c>
      <c r="E19" s="2">
        <v>0</v>
      </c>
      <c r="F19" s="2">
        <v>73</v>
      </c>
      <c r="G19" s="2">
        <v>0</v>
      </c>
      <c r="H19" s="2" t="s">
        <v>128</v>
      </c>
      <c r="I19" s="2" t="s">
        <v>11</v>
      </c>
      <c r="J19" s="3">
        <f t="shared" si="0"/>
        <v>7.2564612326043734E-2</v>
      </c>
    </row>
    <row r="20" spans="1:10" x14ac:dyDescent="0.35">
      <c r="A20" s="2" t="s">
        <v>33</v>
      </c>
      <c r="B20" s="2">
        <v>1006</v>
      </c>
      <c r="C20" s="2">
        <v>923</v>
      </c>
      <c r="D20" s="2">
        <v>2</v>
      </c>
      <c r="E20" s="2">
        <v>0</v>
      </c>
      <c r="F20" s="2">
        <v>81</v>
      </c>
      <c r="G20" s="2">
        <v>0</v>
      </c>
      <c r="H20" s="2" t="s">
        <v>129</v>
      </c>
      <c r="I20" s="2" t="s">
        <v>11</v>
      </c>
      <c r="J20" s="3">
        <f t="shared" si="0"/>
        <v>8.250497017892644E-2</v>
      </c>
    </row>
    <row r="21" spans="1:10" x14ac:dyDescent="0.35">
      <c r="A21" s="2" t="s">
        <v>34</v>
      </c>
      <c r="B21" s="2">
        <v>1006</v>
      </c>
      <c r="C21" s="2">
        <v>913</v>
      </c>
      <c r="D21" s="2">
        <v>4</v>
      </c>
      <c r="E21" s="2">
        <v>0</v>
      </c>
      <c r="F21" s="2">
        <v>89</v>
      </c>
      <c r="G21" s="2">
        <v>0</v>
      </c>
      <c r="H21" s="2" t="s">
        <v>130</v>
      </c>
      <c r="I21" s="2" t="s">
        <v>11</v>
      </c>
      <c r="J21" s="3">
        <f t="shared" si="0"/>
        <v>9.2445328031809146E-2</v>
      </c>
    </row>
    <row r="22" spans="1:10" x14ac:dyDescent="0.35">
      <c r="A22" s="2" t="s">
        <v>35</v>
      </c>
      <c r="B22" s="2">
        <v>1006</v>
      </c>
      <c r="C22" s="2">
        <v>932</v>
      </c>
      <c r="D22" s="2">
        <v>1</v>
      </c>
      <c r="E22" s="2">
        <v>0</v>
      </c>
      <c r="F22" s="2">
        <v>73</v>
      </c>
      <c r="G22" s="2">
        <v>0</v>
      </c>
      <c r="H22" s="2" t="s">
        <v>131</v>
      </c>
      <c r="I22" s="2" t="s">
        <v>11</v>
      </c>
      <c r="J22" s="3">
        <f t="shared" si="0"/>
        <v>7.3558648111332003E-2</v>
      </c>
    </row>
    <row r="23" spans="1:10" x14ac:dyDescent="0.35">
      <c r="A23" s="2" t="s">
        <v>36</v>
      </c>
      <c r="B23" s="2">
        <v>1006</v>
      </c>
      <c r="C23" s="2">
        <v>942</v>
      </c>
      <c r="D23" s="2">
        <v>1</v>
      </c>
      <c r="E23" s="2">
        <v>0</v>
      </c>
      <c r="F23" s="2">
        <v>63</v>
      </c>
      <c r="G23" s="2">
        <v>0</v>
      </c>
      <c r="H23" s="2" t="s">
        <v>132</v>
      </c>
      <c r="I23" s="2" t="s">
        <v>11</v>
      </c>
      <c r="J23" s="3">
        <f t="shared" si="0"/>
        <v>6.3618290258449298E-2</v>
      </c>
    </row>
    <row r="24" spans="1:10" x14ac:dyDescent="0.35">
      <c r="A24" s="2" t="s">
        <v>37</v>
      </c>
      <c r="B24" s="2">
        <v>1006</v>
      </c>
      <c r="C24" s="2">
        <v>854</v>
      </c>
      <c r="D24" s="2">
        <v>0</v>
      </c>
      <c r="E24" s="2">
        <v>0</v>
      </c>
      <c r="F24" s="2">
        <v>152</v>
      </c>
      <c r="G24" s="2">
        <v>0</v>
      </c>
      <c r="H24" s="2" t="s">
        <v>133</v>
      </c>
      <c r="I24" s="2" t="s">
        <v>11</v>
      </c>
      <c r="J24" s="3">
        <f t="shared" si="0"/>
        <v>0.15109343936381708</v>
      </c>
    </row>
    <row r="25" spans="1:10" x14ac:dyDescent="0.35">
      <c r="A25" s="2" t="s">
        <v>38</v>
      </c>
      <c r="B25" s="2">
        <v>1006</v>
      </c>
      <c r="C25" s="2">
        <v>951</v>
      </c>
      <c r="D25" s="2">
        <v>1</v>
      </c>
      <c r="E25" s="2">
        <v>0</v>
      </c>
      <c r="F25" s="2">
        <v>54</v>
      </c>
      <c r="G25" s="2">
        <v>0</v>
      </c>
      <c r="H25" s="2" t="s">
        <v>126</v>
      </c>
      <c r="I25" s="2" t="s">
        <v>11</v>
      </c>
      <c r="J25" s="3">
        <f t="shared" si="0"/>
        <v>5.4671968190854868E-2</v>
      </c>
    </row>
    <row r="26" spans="1:10" x14ac:dyDescent="0.35">
      <c r="A26" s="2" t="s">
        <v>39</v>
      </c>
      <c r="B26" s="2">
        <v>1006</v>
      </c>
      <c r="C26" s="2">
        <v>913</v>
      </c>
      <c r="D26" s="2">
        <v>0</v>
      </c>
      <c r="E26" s="2">
        <v>0</v>
      </c>
      <c r="F26" s="2">
        <v>93</v>
      </c>
      <c r="G26" s="2">
        <v>0</v>
      </c>
      <c r="H26" s="2" t="s">
        <v>130</v>
      </c>
      <c r="I26" s="2" t="s">
        <v>11</v>
      </c>
      <c r="J26" s="3">
        <f t="shared" si="0"/>
        <v>9.2445328031809146E-2</v>
      </c>
    </row>
    <row r="27" spans="1:10" x14ac:dyDescent="0.35">
      <c r="A27" s="2" t="s">
        <v>40</v>
      </c>
      <c r="B27" s="2">
        <v>1006</v>
      </c>
      <c r="C27" s="2">
        <v>923</v>
      </c>
      <c r="D27" s="2">
        <v>2</v>
      </c>
      <c r="E27" s="2">
        <v>0</v>
      </c>
      <c r="F27" s="2">
        <v>81</v>
      </c>
      <c r="G27" s="2">
        <v>0</v>
      </c>
      <c r="H27" s="2" t="s">
        <v>129</v>
      </c>
      <c r="I27" s="2" t="s">
        <v>11</v>
      </c>
      <c r="J27" s="3">
        <f t="shared" si="0"/>
        <v>8.250497017892644E-2</v>
      </c>
    </row>
    <row r="28" spans="1:10" x14ac:dyDescent="0.35">
      <c r="A28" s="2" t="s">
        <v>41</v>
      </c>
      <c r="B28" s="2">
        <v>1006</v>
      </c>
      <c r="C28" s="2">
        <v>932</v>
      </c>
      <c r="D28" s="2">
        <v>1</v>
      </c>
      <c r="E28" s="2">
        <v>0</v>
      </c>
      <c r="F28" s="2">
        <v>73</v>
      </c>
      <c r="G28" s="2">
        <v>0</v>
      </c>
      <c r="H28" s="2" t="s">
        <v>131</v>
      </c>
      <c r="I28" s="2" t="s">
        <v>11</v>
      </c>
      <c r="J28" s="3">
        <f t="shared" si="0"/>
        <v>7.3558648111332003E-2</v>
      </c>
    </row>
    <row r="29" spans="1:10" x14ac:dyDescent="0.35">
      <c r="A29" s="2" t="s">
        <v>42</v>
      </c>
      <c r="B29" s="2">
        <v>1006</v>
      </c>
      <c r="C29" s="2">
        <v>709</v>
      </c>
      <c r="D29" s="2">
        <v>1</v>
      </c>
      <c r="E29" s="2">
        <v>0</v>
      </c>
      <c r="F29" s="2">
        <v>296</v>
      </c>
      <c r="G29" s="2">
        <v>0</v>
      </c>
      <c r="H29" s="2" t="s">
        <v>134</v>
      </c>
      <c r="I29" s="2" t="s">
        <v>11</v>
      </c>
      <c r="J29" s="3">
        <f t="shared" si="0"/>
        <v>0.2952286282306163</v>
      </c>
    </row>
    <row r="30" spans="1:10" x14ac:dyDescent="0.35">
      <c r="A30" s="2" t="s">
        <v>43</v>
      </c>
      <c r="B30" s="2">
        <v>1006</v>
      </c>
      <c r="C30" s="2">
        <v>917</v>
      </c>
      <c r="D30" s="2">
        <v>0</v>
      </c>
      <c r="E30" s="2">
        <v>0</v>
      </c>
      <c r="F30" s="2">
        <v>89</v>
      </c>
      <c r="G30" s="2">
        <v>0</v>
      </c>
      <c r="H30" s="2" t="s">
        <v>135</v>
      </c>
      <c r="I30" s="2" t="s">
        <v>11</v>
      </c>
      <c r="J30" s="3">
        <f t="shared" si="0"/>
        <v>8.8469184890656069E-2</v>
      </c>
    </row>
    <row r="31" spans="1:10" x14ac:dyDescent="0.35">
      <c r="A31" s="2" t="s">
        <v>44</v>
      </c>
      <c r="B31" s="2">
        <v>1006</v>
      </c>
      <c r="C31" s="2">
        <v>923</v>
      </c>
      <c r="D31" s="2">
        <v>1</v>
      </c>
      <c r="E31" s="2">
        <v>0</v>
      </c>
      <c r="F31" s="2">
        <v>82</v>
      </c>
      <c r="G31" s="2">
        <v>0</v>
      </c>
      <c r="H31" s="2" t="s">
        <v>129</v>
      </c>
      <c r="I31" s="2" t="s">
        <v>11</v>
      </c>
      <c r="J31" s="3">
        <f t="shared" si="0"/>
        <v>8.250497017892644E-2</v>
      </c>
    </row>
    <row r="32" spans="1:10" x14ac:dyDescent="0.35">
      <c r="A32" s="2" t="s">
        <v>45</v>
      </c>
      <c r="B32" s="2">
        <v>1006</v>
      </c>
      <c r="C32" s="2">
        <v>925</v>
      </c>
      <c r="D32" s="2">
        <v>2</v>
      </c>
      <c r="E32" s="2">
        <v>0</v>
      </c>
      <c r="F32" s="2">
        <v>79</v>
      </c>
      <c r="G32" s="2">
        <v>0</v>
      </c>
      <c r="H32" s="2" t="s">
        <v>136</v>
      </c>
      <c r="I32" s="2" t="s">
        <v>11</v>
      </c>
      <c r="J32" s="3">
        <f t="shared" si="0"/>
        <v>8.0516898608349902E-2</v>
      </c>
    </row>
    <row r="33" spans="1:10" x14ac:dyDescent="0.35">
      <c r="A33" s="2" t="s">
        <v>46</v>
      </c>
      <c r="B33" s="2">
        <v>1006</v>
      </c>
      <c r="C33" s="2">
        <v>922</v>
      </c>
      <c r="D33" s="2">
        <v>0</v>
      </c>
      <c r="E33" s="2">
        <v>0</v>
      </c>
      <c r="F33" s="2">
        <v>84</v>
      </c>
      <c r="G33" s="2">
        <v>0</v>
      </c>
      <c r="H33" s="2" t="s">
        <v>137</v>
      </c>
      <c r="I33" s="2" t="s">
        <v>11</v>
      </c>
      <c r="J33" s="3">
        <f t="shared" si="0"/>
        <v>8.3499005964214709E-2</v>
      </c>
    </row>
    <row r="34" spans="1:10" x14ac:dyDescent="0.35">
      <c r="A34" s="2" t="s">
        <v>47</v>
      </c>
      <c r="B34" s="2">
        <v>1006</v>
      </c>
      <c r="C34" s="2">
        <v>949</v>
      </c>
      <c r="D34" s="2">
        <v>2</v>
      </c>
      <c r="E34" s="2">
        <v>0</v>
      </c>
      <c r="F34" s="2">
        <v>55</v>
      </c>
      <c r="G34" s="2">
        <v>0</v>
      </c>
      <c r="H34" s="2" t="s">
        <v>138</v>
      </c>
      <c r="I34" s="2" t="s">
        <v>11</v>
      </c>
      <c r="J34" s="3">
        <f t="shared" si="0"/>
        <v>5.6660039761431413E-2</v>
      </c>
    </row>
    <row r="35" spans="1:10" x14ac:dyDescent="0.35">
      <c r="A35" s="2" t="s">
        <v>48</v>
      </c>
      <c r="B35" s="2">
        <v>1006</v>
      </c>
      <c r="C35" s="2">
        <v>895</v>
      </c>
      <c r="D35" s="2">
        <v>1</v>
      </c>
      <c r="E35" s="2">
        <v>0</v>
      </c>
      <c r="F35" s="2">
        <v>110</v>
      </c>
      <c r="G35" s="2">
        <v>0</v>
      </c>
      <c r="H35" s="2" t="s">
        <v>139</v>
      </c>
      <c r="I35" s="2" t="s">
        <v>11</v>
      </c>
      <c r="J35" s="3">
        <f t="shared" si="0"/>
        <v>0.11033797216699801</v>
      </c>
    </row>
    <row r="36" spans="1:10" x14ac:dyDescent="0.35">
      <c r="A36" s="2" t="s">
        <v>49</v>
      </c>
      <c r="B36" s="2">
        <v>1006</v>
      </c>
      <c r="C36" s="2">
        <v>723</v>
      </c>
      <c r="D36" s="2">
        <v>1</v>
      </c>
      <c r="E36" s="2">
        <v>0</v>
      </c>
      <c r="F36" s="2">
        <v>282</v>
      </c>
      <c r="G36" s="2">
        <v>0</v>
      </c>
      <c r="H36" s="2" t="s">
        <v>140</v>
      </c>
      <c r="I36" s="2" t="s">
        <v>11</v>
      </c>
      <c r="J36" s="3">
        <f t="shared" si="0"/>
        <v>0.2813121272365805</v>
      </c>
    </row>
    <row r="37" spans="1:10" x14ac:dyDescent="0.35">
      <c r="A37" s="2" t="s">
        <v>50</v>
      </c>
      <c r="B37" s="2">
        <v>1006</v>
      </c>
      <c r="C37" s="2">
        <v>938</v>
      </c>
      <c r="D37" s="2">
        <v>0</v>
      </c>
      <c r="E37" s="2">
        <v>0</v>
      </c>
      <c r="F37" s="2">
        <v>68</v>
      </c>
      <c r="G37" s="2">
        <v>0</v>
      </c>
      <c r="H37" s="2" t="s">
        <v>141</v>
      </c>
      <c r="I37" s="2" t="s">
        <v>11</v>
      </c>
      <c r="J37" s="3">
        <f t="shared" si="0"/>
        <v>6.7594433399602388E-2</v>
      </c>
    </row>
    <row r="38" spans="1:10" x14ac:dyDescent="0.35">
      <c r="A38" s="2" t="s">
        <v>51</v>
      </c>
      <c r="B38" s="2">
        <v>1006</v>
      </c>
      <c r="C38" s="2">
        <v>863</v>
      </c>
      <c r="D38" s="2">
        <v>1</v>
      </c>
      <c r="E38" s="2">
        <v>0</v>
      </c>
      <c r="F38" s="2">
        <v>142</v>
      </c>
      <c r="G38" s="2">
        <v>0</v>
      </c>
      <c r="H38" s="2" t="s">
        <v>142</v>
      </c>
      <c r="I38" s="2" t="s">
        <v>11</v>
      </c>
      <c r="J38" s="3">
        <f t="shared" si="0"/>
        <v>0.14214711729622267</v>
      </c>
    </row>
    <row r="39" spans="1:10" x14ac:dyDescent="0.35">
      <c r="A39" s="2" t="s">
        <v>52</v>
      </c>
      <c r="B39" s="2">
        <v>1006</v>
      </c>
      <c r="C39" s="2">
        <v>908</v>
      </c>
      <c r="D39" s="2">
        <v>3</v>
      </c>
      <c r="E39" s="2">
        <v>0</v>
      </c>
      <c r="F39" s="2">
        <v>95</v>
      </c>
      <c r="G39" s="2">
        <v>0</v>
      </c>
      <c r="H39" s="2" t="s">
        <v>125</v>
      </c>
      <c r="I39" s="2" t="s">
        <v>11</v>
      </c>
      <c r="J39" s="3">
        <f t="shared" si="0"/>
        <v>9.7415506958250492E-2</v>
      </c>
    </row>
    <row r="40" spans="1:10" x14ac:dyDescent="0.35">
      <c r="A40" s="2" t="s">
        <v>54</v>
      </c>
      <c r="B40" s="2">
        <v>1006</v>
      </c>
      <c r="C40" s="2">
        <v>948</v>
      </c>
      <c r="D40" s="2">
        <v>1</v>
      </c>
      <c r="E40" s="2">
        <v>0</v>
      </c>
      <c r="F40" s="2">
        <v>57</v>
      </c>
      <c r="G40" s="2">
        <v>0</v>
      </c>
      <c r="H40" s="2" t="s">
        <v>143</v>
      </c>
      <c r="I40" s="2" t="s">
        <v>11</v>
      </c>
      <c r="J40" s="3">
        <f t="shared" si="0"/>
        <v>5.7654075546719682E-2</v>
      </c>
    </row>
    <row r="41" spans="1:10" x14ac:dyDescent="0.35">
      <c r="A41" s="2" t="s">
        <v>55</v>
      </c>
      <c r="B41" s="2">
        <v>1006</v>
      </c>
      <c r="C41" s="2">
        <v>932</v>
      </c>
      <c r="D41" s="2">
        <v>1</v>
      </c>
      <c r="E41" s="2">
        <v>0</v>
      </c>
      <c r="F41" s="2">
        <v>73</v>
      </c>
      <c r="G41" s="2">
        <v>0</v>
      </c>
      <c r="H41" s="2" t="s">
        <v>131</v>
      </c>
      <c r="I41" s="2" t="s">
        <v>11</v>
      </c>
      <c r="J41" s="3">
        <f t="shared" si="0"/>
        <v>7.3558648111332003E-2</v>
      </c>
    </row>
    <row r="42" spans="1:10" x14ac:dyDescent="0.35">
      <c r="A42" s="2" t="s">
        <v>56</v>
      </c>
      <c r="B42" s="2">
        <v>1006</v>
      </c>
      <c r="C42" s="2">
        <v>789</v>
      </c>
      <c r="D42" s="2">
        <v>0</v>
      </c>
      <c r="E42" s="2">
        <v>0</v>
      </c>
      <c r="F42" s="2">
        <v>217</v>
      </c>
      <c r="G42" s="2">
        <v>0</v>
      </c>
      <c r="H42" s="2" t="s">
        <v>144</v>
      </c>
      <c r="I42" s="2" t="s">
        <v>11</v>
      </c>
      <c r="J42" s="3">
        <f t="shared" si="0"/>
        <v>0.21570576540755468</v>
      </c>
    </row>
    <row r="43" spans="1:10" x14ac:dyDescent="0.35">
      <c r="A43" s="2" t="s">
        <v>58</v>
      </c>
      <c r="B43" s="2">
        <v>1006</v>
      </c>
      <c r="C43" s="2">
        <v>945</v>
      </c>
      <c r="D43" s="2">
        <v>0</v>
      </c>
      <c r="E43" s="2">
        <v>0</v>
      </c>
      <c r="F43" s="2">
        <v>61</v>
      </c>
      <c r="G43" s="2">
        <v>0</v>
      </c>
      <c r="H43" s="2" t="s">
        <v>145</v>
      </c>
      <c r="I43" s="2" t="s">
        <v>11</v>
      </c>
      <c r="J43" s="3">
        <f t="shared" si="0"/>
        <v>6.063618290258449E-2</v>
      </c>
    </row>
    <row r="44" spans="1:10" x14ac:dyDescent="0.35">
      <c r="A44" s="2" t="s">
        <v>59</v>
      </c>
      <c r="B44" s="2">
        <v>1006</v>
      </c>
      <c r="C44" s="2">
        <v>890</v>
      </c>
      <c r="D44" s="2">
        <v>1</v>
      </c>
      <c r="E44" s="2">
        <v>0</v>
      </c>
      <c r="F44" s="2">
        <v>115</v>
      </c>
      <c r="G44" s="2">
        <v>0</v>
      </c>
      <c r="H44" s="2" t="s">
        <v>146</v>
      </c>
      <c r="I44" s="2" t="s">
        <v>11</v>
      </c>
      <c r="J44" s="3">
        <f t="shared" si="0"/>
        <v>0.11530815109343936</v>
      </c>
    </row>
    <row r="45" spans="1:10" x14ac:dyDescent="0.35">
      <c r="A45" s="2" t="s">
        <v>60</v>
      </c>
      <c r="B45" s="2">
        <v>1006</v>
      </c>
      <c r="C45" s="2">
        <v>903</v>
      </c>
      <c r="D45" s="2">
        <v>0</v>
      </c>
      <c r="E45" s="2">
        <v>0</v>
      </c>
      <c r="F45" s="2">
        <v>103</v>
      </c>
      <c r="G45" s="2">
        <v>0</v>
      </c>
      <c r="H45" s="2" t="s">
        <v>124</v>
      </c>
      <c r="I45" s="2" t="s">
        <v>11</v>
      </c>
      <c r="J45" s="3">
        <f t="shared" si="0"/>
        <v>0.10238568588469185</v>
      </c>
    </row>
    <row r="46" spans="1:10" x14ac:dyDescent="0.35">
      <c r="A46" s="2" t="s">
        <v>61</v>
      </c>
      <c r="B46" s="2">
        <v>1006</v>
      </c>
      <c r="C46" s="2">
        <v>865</v>
      </c>
      <c r="D46" s="2">
        <v>0</v>
      </c>
      <c r="E46" s="2">
        <v>0</v>
      </c>
      <c r="F46" s="2">
        <v>141</v>
      </c>
      <c r="G46" s="2">
        <v>0</v>
      </c>
      <c r="H46" s="2" t="s">
        <v>147</v>
      </c>
      <c r="I46" s="2" t="s">
        <v>11</v>
      </c>
      <c r="J46" s="3">
        <f t="shared" si="0"/>
        <v>0.14015904572564614</v>
      </c>
    </row>
    <row r="47" spans="1:10" x14ac:dyDescent="0.35">
      <c r="A47" s="2" t="s">
        <v>62</v>
      </c>
      <c r="B47" s="2">
        <v>1006</v>
      </c>
      <c r="C47" s="2">
        <v>840</v>
      </c>
      <c r="D47" s="2">
        <v>1</v>
      </c>
      <c r="E47" s="2">
        <v>0</v>
      </c>
      <c r="F47" s="2">
        <v>165</v>
      </c>
      <c r="G47" s="2">
        <v>0</v>
      </c>
      <c r="H47" s="2" t="s">
        <v>148</v>
      </c>
      <c r="I47" s="2" t="s">
        <v>11</v>
      </c>
      <c r="J47" s="3">
        <f t="shared" si="0"/>
        <v>0.16500994035785288</v>
      </c>
    </row>
    <row r="48" spans="1:10" x14ac:dyDescent="0.35">
      <c r="A48" s="2" t="s">
        <v>63</v>
      </c>
      <c r="B48" s="2">
        <v>1006</v>
      </c>
      <c r="C48" s="2">
        <v>919</v>
      </c>
      <c r="D48" s="2">
        <v>2</v>
      </c>
      <c r="E48" s="2">
        <v>0</v>
      </c>
      <c r="F48" s="2">
        <v>85</v>
      </c>
      <c r="G48" s="2">
        <v>0</v>
      </c>
      <c r="H48" s="2" t="s">
        <v>149</v>
      </c>
      <c r="I48" s="2" t="s">
        <v>11</v>
      </c>
      <c r="J48" s="3">
        <f t="shared" si="0"/>
        <v>8.6481113320079517E-2</v>
      </c>
    </row>
    <row r="49" spans="1:10" x14ac:dyDescent="0.35">
      <c r="A49" s="2" t="s">
        <v>64</v>
      </c>
      <c r="B49" s="2">
        <v>1006</v>
      </c>
      <c r="C49" s="2">
        <v>955</v>
      </c>
      <c r="D49" s="2">
        <v>0</v>
      </c>
      <c r="E49" s="2">
        <v>0</v>
      </c>
      <c r="F49" s="2">
        <v>51</v>
      </c>
      <c r="G49" s="2">
        <v>0</v>
      </c>
      <c r="H49" s="2" t="s">
        <v>150</v>
      </c>
      <c r="I49" s="2" t="s">
        <v>11</v>
      </c>
      <c r="J49" s="3">
        <f t="shared" si="0"/>
        <v>5.0695825049701791E-2</v>
      </c>
    </row>
    <row r="50" spans="1:10" x14ac:dyDescent="0.35">
      <c r="A50" s="2" t="s">
        <v>65</v>
      </c>
      <c r="B50" s="2">
        <v>1006</v>
      </c>
      <c r="C50" s="2">
        <v>927</v>
      </c>
      <c r="D50" s="2">
        <v>0</v>
      </c>
      <c r="E50" s="2">
        <v>0</v>
      </c>
      <c r="F50" s="2">
        <v>79</v>
      </c>
      <c r="G50" s="2">
        <v>0</v>
      </c>
      <c r="H50" s="2" t="s">
        <v>151</v>
      </c>
      <c r="I50" s="2" t="s">
        <v>11</v>
      </c>
      <c r="J50" s="3">
        <f t="shared" si="0"/>
        <v>7.8528827037773363E-2</v>
      </c>
    </row>
    <row r="51" spans="1:10" x14ac:dyDescent="0.35">
      <c r="A51" s="2" t="s">
        <v>66</v>
      </c>
      <c r="B51" s="2">
        <v>1006</v>
      </c>
      <c r="C51" s="2">
        <v>611</v>
      </c>
      <c r="D51" s="2">
        <v>1</v>
      </c>
      <c r="E51" s="2">
        <v>0</v>
      </c>
      <c r="F51" s="2">
        <v>394</v>
      </c>
      <c r="G51" s="2">
        <v>0</v>
      </c>
      <c r="H51" s="2" t="s">
        <v>152</v>
      </c>
      <c r="I51" s="2" t="s">
        <v>11</v>
      </c>
      <c r="J51" s="3">
        <f t="shared" si="0"/>
        <v>0.39264413518886682</v>
      </c>
    </row>
    <row r="52" spans="1:10" x14ac:dyDescent="0.35">
      <c r="A52" s="2" t="s">
        <v>67</v>
      </c>
      <c r="B52" s="2">
        <v>1006</v>
      </c>
      <c r="C52" s="2">
        <v>956</v>
      </c>
      <c r="D52" s="2">
        <v>1</v>
      </c>
      <c r="E52" s="2">
        <v>0</v>
      </c>
      <c r="F52" s="2">
        <v>49</v>
      </c>
      <c r="G52" s="2">
        <v>0</v>
      </c>
      <c r="H52" s="2" t="s">
        <v>153</v>
      </c>
      <c r="I52" s="2" t="s">
        <v>11</v>
      </c>
      <c r="J52" s="3">
        <f t="shared" si="0"/>
        <v>4.9701789264413522E-2</v>
      </c>
    </row>
    <row r="53" spans="1:10" x14ac:dyDescent="0.35">
      <c r="A53" s="2" t="s">
        <v>68</v>
      </c>
      <c r="B53" s="2">
        <v>1006</v>
      </c>
      <c r="C53" s="2">
        <v>934</v>
      </c>
      <c r="D53" s="2">
        <v>2</v>
      </c>
      <c r="E53" s="2">
        <v>0</v>
      </c>
      <c r="F53" s="2">
        <v>70</v>
      </c>
      <c r="G53" s="2">
        <v>0</v>
      </c>
      <c r="H53" s="2" t="s">
        <v>122</v>
      </c>
      <c r="I53" s="2" t="s">
        <v>11</v>
      </c>
      <c r="J53" s="3">
        <f t="shared" si="0"/>
        <v>7.1570576540755465E-2</v>
      </c>
    </row>
    <row r="54" spans="1:10" x14ac:dyDescent="0.35">
      <c r="A54" s="2" t="s">
        <v>69</v>
      </c>
      <c r="B54" s="2">
        <v>1006</v>
      </c>
      <c r="C54" s="2">
        <v>943</v>
      </c>
      <c r="D54" s="2">
        <v>0</v>
      </c>
      <c r="E54" s="2">
        <v>0</v>
      </c>
      <c r="F54" s="2">
        <v>63</v>
      </c>
      <c r="G54" s="2">
        <v>0</v>
      </c>
      <c r="H54" s="2" t="s">
        <v>154</v>
      </c>
      <c r="I54" s="2" t="s">
        <v>11</v>
      </c>
      <c r="J54" s="3">
        <f t="shared" si="0"/>
        <v>6.2624254473161028E-2</v>
      </c>
    </row>
    <row r="55" spans="1:10" x14ac:dyDescent="0.35">
      <c r="A55" s="2" t="s">
        <v>71</v>
      </c>
      <c r="B55" s="2">
        <v>1006</v>
      </c>
      <c r="C55" s="2">
        <v>873</v>
      </c>
      <c r="D55" s="2">
        <v>2</v>
      </c>
      <c r="E55" s="2">
        <v>0</v>
      </c>
      <c r="F55" s="2">
        <v>131</v>
      </c>
      <c r="G55" s="2">
        <v>0</v>
      </c>
      <c r="H55" s="2" t="s">
        <v>155</v>
      </c>
      <c r="I55" s="2" t="s">
        <v>11</v>
      </c>
      <c r="J55" s="3">
        <f t="shared" si="0"/>
        <v>0.13220675944333996</v>
      </c>
    </row>
    <row r="56" spans="1:10" x14ac:dyDescent="0.35">
      <c r="A56" s="2" t="s">
        <v>72</v>
      </c>
      <c r="B56" s="2">
        <v>1006</v>
      </c>
      <c r="C56" s="2">
        <v>941</v>
      </c>
      <c r="D56" s="2">
        <v>2</v>
      </c>
      <c r="E56" s="2">
        <v>0</v>
      </c>
      <c r="F56" s="2">
        <v>63</v>
      </c>
      <c r="G56" s="2">
        <v>0</v>
      </c>
      <c r="H56" s="2" t="s">
        <v>17</v>
      </c>
      <c r="I56" s="2" t="s">
        <v>11</v>
      </c>
      <c r="J56" s="3">
        <f t="shared" si="0"/>
        <v>6.4612326043737581E-2</v>
      </c>
    </row>
    <row r="57" spans="1:10" x14ac:dyDescent="0.35">
      <c r="A57" s="2" t="s">
        <v>73</v>
      </c>
      <c r="B57" s="2">
        <v>1006</v>
      </c>
      <c r="C57" s="2">
        <v>857</v>
      </c>
      <c r="D57" s="2">
        <v>1</v>
      </c>
      <c r="E57" s="2">
        <v>0</v>
      </c>
      <c r="F57" s="2">
        <v>148</v>
      </c>
      <c r="G57" s="2">
        <v>0</v>
      </c>
      <c r="H57" s="2" t="s">
        <v>156</v>
      </c>
      <c r="I57" s="2" t="s">
        <v>11</v>
      </c>
      <c r="J57" s="3">
        <f t="shared" si="0"/>
        <v>0.14811133200795229</v>
      </c>
    </row>
    <row r="58" spans="1:10" x14ac:dyDescent="0.35">
      <c r="A58" s="2" t="s">
        <v>74</v>
      </c>
      <c r="B58" s="2">
        <v>1006</v>
      </c>
      <c r="C58" s="2">
        <v>948</v>
      </c>
      <c r="D58" s="2">
        <v>2</v>
      </c>
      <c r="E58" s="2">
        <v>0</v>
      </c>
      <c r="F58" s="2">
        <v>56</v>
      </c>
      <c r="G58" s="2">
        <v>0</v>
      </c>
      <c r="H58" s="2" t="s">
        <v>143</v>
      </c>
      <c r="I58" s="2" t="s">
        <v>11</v>
      </c>
      <c r="J58" s="3">
        <f t="shared" si="0"/>
        <v>5.7654075546719682E-2</v>
      </c>
    </row>
    <row r="59" spans="1:10" x14ac:dyDescent="0.35">
      <c r="A59" s="2" t="s">
        <v>75</v>
      </c>
      <c r="B59" s="2">
        <v>1006</v>
      </c>
      <c r="C59" s="2">
        <v>904</v>
      </c>
      <c r="D59" s="2">
        <v>0</v>
      </c>
      <c r="E59" s="2">
        <v>0</v>
      </c>
      <c r="F59" s="2">
        <v>102</v>
      </c>
      <c r="G59" s="2">
        <v>0</v>
      </c>
      <c r="H59" s="2" t="s">
        <v>157</v>
      </c>
      <c r="I59" s="2" t="s">
        <v>11</v>
      </c>
      <c r="J59" s="3">
        <f t="shared" si="0"/>
        <v>0.10139165009940358</v>
      </c>
    </row>
    <row r="60" spans="1:10" x14ac:dyDescent="0.35">
      <c r="A60" s="2" t="s">
        <v>76</v>
      </c>
      <c r="B60" s="2">
        <v>1006</v>
      </c>
      <c r="C60" s="2">
        <v>831</v>
      </c>
      <c r="D60" s="2">
        <v>1</v>
      </c>
      <c r="E60" s="2">
        <v>0</v>
      </c>
      <c r="F60" s="2">
        <v>174</v>
      </c>
      <c r="G60" s="2">
        <v>0</v>
      </c>
      <c r="H60" s="2" t="s">
        <v>158</v>
      </c>
      <c r="I60" s="2" t="s">
        <v>11</v>
      </c>
      <c r="J60" s="3">
        <f t="shared" si="0"/>
        <v>0.17395626242544732</v>
      </c>
    </row>
    <row r="61" spans="1:10" x14ac:dyDescent="0.35">
      <c r="A61" s="2" t="s">
        <v>77</v>
      </c>
      <c r="B61" s="2">
        <v>1006</v>
      </c>
      <c r="C61" s="2">
        <v>916</v>
      </c>
      <c r="D61" s="2">
        <v>1</v>
      </c>
      <c r="E61" s="2">
        <v>0</v>
      </c>
      <c r="F61" s="2">
        <v>89</v>
      </c>
      <c r="G61" s="2">
        <v>0</v>
      </c>
      <c r="H61" s="2" t="s">
        <v>159</v>
      </c>
      <c r="I61" s="2" t="s">
        <v>11</v>
      </c>
      <c r="J61" s="3">
        <f t="shared" si="0"/>
        <v>8.9463220675944338E-2</v>
      </c>
    </row>
    <row r="62" spans="1:10" x14ac:dyDescent="0.35">
      <c r="A62" s="2" t="s">
        <v>78</v>
      </c>
      <c r="B62" s="2">
        <v>1006</v>
      </c>
      <c r="C62" s="2">
        <v>818</v>
      </c>
      <c r="D62" s="2">
        <v>1</v>
      </c>
      <c r="E62" s="2">
        <v>0</v>
      </c>
      <c r="F62" s="2">
        <v>187</v>
      </c>
      <c r="G62" s="2">
        <v>0</v>
      </c>
      <c r="H62" s="2" t="s">
        <v>160</v>
      </c>
      <c r="I62" s="2" t="s">
        <v>11</v>
      </c>
      <c r="J62" s="3">
        <f t="shared" si="0"/>
        <v>0.18687872763419483</v>
      </c>
    </row>
    <row r="63" spans="1:10" x14ac:dyDescent="0.35">
      <c r="A63" s="2" t="s">
        <v>79</v>
      </c>
      <c r="B63" s="2">
        <v>1006</v>
      </c>
      <c r="C63" s="2">
        <v>894</v>
      </c>
      <c r="D63" s="2">
        <v>1</v>
      </c>
      <c r="E63" s="2">
        <v>0</v>
      </c>
      <c r="F63" s="2">
        <v>111</v>
      </c>
      <c r="G63" s="2">
        <v>0</v>
      </c>
      <c r="H63" s="2" t="s">
        <v>161</v>
      </c>
      <c r="I63" s="2" t="s">
        <v>11</v>
      </c>
      <c r="J63" s="3">
        <f t="shared" si="0"/>
        <v>0.11133200795228629</v>
      </c>
    </row>
    <row r="64" spans="1:10" x14ac:dyDescent="0.35">
      <c r="A64" s="2" t="s">
        <v>80</v>
      </c>
      <c r="B64" s="2">
        <v>1006</v>
      </c>
      <c r="C64" s="2">
        <v>912</v>
      </c>
      <c r="D64" s="2">
        <v>0</v>
      </c>
      <c r="E64" s="2">
        <v>0</v>
      </c>
      <c r="F64" s="2">
        <v>94</v>
      </c>
      <c r="G64" s="2">
        <v>0</v>
      </c>
      <c r="H64" s="2" t="s">
        <v>162</v>
      </c>
      <c r="I64" s="2" t="s">
        <v>11</v>
      </c>
      <c r="J64" s="3">
        <f t="shared" si="0"/>
        <v>9.3439363817097415E-2</v>
      </c>
    </row>
    <row r="65" spans="1:10" x14ac:dyDescent="0.35">
      <c r="A65" s="2" t="s">
        <v>82</v>
      </c>
      <c r="B65" s="2">
        <v>1006</v>
      </c>
      <c r="C65" s="2">
        <v>890</v>
      </c>
      <c r="D65" s="2">
        <v>1</v>
      </c>
      <c r="E65" s="2">
        <v>0</v>
      </c>
      <c r="F65" s="2">
        <v>115</v>
      </c>
      <c r="G65" s="2">
        <v>0</v>
      </c>
      <c r="H65" s="2" t="s">
        <v>146</v>
      </c>
      <c r="I65" s="2" t="s">
        <v>11</v>
      </c>
      <c r="J65" s="3">
        <f t="shared" si="0"/>
        <v>0.11530815109343936</v>
      </c>
    </row>
    <row r="66" spans="1:10" x14ac:dyDescent="0.35">
      <c r="A66" s="2" t="s">
        <v>83</v>
      </c>
      <c r="B66" s="2">
        <v>1006</v>
      </c>
      <c r="C66" s="2">
        <v>890</v>
      </c>
      <c r="D66" s="2">
        <v>1</v>
      </c>
      <c r="E66" s="2">
        <v>0</v>
      </c>
      <c r="F66" s="2">
        <v>115</v>
      </c>
      <c r="G66" s="2">
        <v>0</v>
      </c>
      <c r="H66" s="2" t="s">
        <v>146</v>
      </c>
      <c r="I66" s="2" t="s">
        <v>11</v>
      </c>
      <c r="J66" s="3">
        <f t="shared" si="0"/>
        <v>0.11530815109343936</v>
      </c>
    </row>
    <row r="67" spans="1:10" x14ac:dyDescent="0.35">
      <c r="A67" s="2" t="s">
        <v>85</v>
      </c>
      <c r="B67" s="2">
        <v>1006</v>
      </c>
      <c r="C67" s="2">
        <v>922</v>
      </c>
      <c r="D67" s="2">
        <v>0</v>
      </c>
      <c r="E67" s="2">
        <v>0</v>
      </c>
      <c r="F67" s="2">
        <v>84</v>
      </c>
      <c r="G67" s="2">
        <v>0</v>
      </c>
      <c r="H67" s="2" t="s">
        <v>137</v>
      </c>
      <c r="I67" s="2" t="s">
        <v>11</v>
      </c>
      <c r="J67" s="3">
        <f t="shared" ref="J67:J91" si="1">(D67+E67+F67)/B67</f>
        <v>8.3499005964214709E-2</v>
      </c>
    </row>
    <row r="68" spans="1:10" x14ac:dyDescent="0.35">
      <c r="A68" s="2" t="s">
        <v>86</v>
      </c>
      <c r="B68" s="2">
        <v>1006</v>
      </c>
      <c r="C68" s="2">
        <v>869</v>
      </c>
      <c r="D68" s="2">
        <v>3</v>
      </c>
      <c r="E68" s="2">
        <v>0</v>
      </c>
      <c r="F68" s="2">
        <v>134</v>
      </c>
      <c r="G68" s="2">
        <v>0</v>
      </c>
      <c r="H68" s="2" t="s">
        <v>163</v>
      </c>
      <c r="I68" s="2" t="s">
        <v>11</v>
      </c>
      <c r="J68" s="3">
        <f t="shared" si="1"/>
        <v>0.13618290258449303</v>
      </c>
    </row>
    <row r="69" spans="1:10" x14ac:dyDescent="0.35">
      <c r="A69" s="2" t="s">
        <v>87</v>
      </c>
      <c r="B69" s="2">
        <v>1006</v>
      </c>
      <c r="C69" s="2">
        <v>896</v>
      </c>
      <c r="D69" s="2">
        <v>0</v>
      </c>
      <c r="E69" s="2">
        <v>0</v>
      </c>
      <c r="F69" s="2">
        <v>110</v>
      </c>
      <c r="G69" s="2">
        <v>0</v>
      </c>
      <c r="H69" s="2" t="s">
        <v>164</v>
      </c>
      <c r="I69" s="2" t="s">
        <v>11</v>
      </c>
      <c r="J69" s="3">
        <f t="shared" si="1"/>
        <v>0.10934393638170974</v>
      </c>
    </row>
    <row r="70" spans="1:10" x14ac:dyDescent="0.35">
      <c r="A70" s="2" t="s">
        <v>88</v>
      </c>
      <c r="B70" s="2">
        <v>1006</v>
      </c>
      <c r="C70" s="2">
        <v>943</v>
      </c>
      <c r="D70" s="2">
        <v>0</v>
      </c>
      <c r="E70" s="2">
        <v>0</v>
      </c>
      <c r="F70" s="2">
        <v>63</v>
      </c>
      <c r="G70" s="2">
        <v>0</v>
      </c>
      <c r="H70" s="2" t="s">
        <v>154</v>
      </c>
      <c r="I70" s="2" t="s">
        <v>11</v>
      </c>
      <c r="J70" s="3">
        <f t="shared" si="1"/>
        <v>6.2624254473161028E-2</v>
      </c>
    </row>
    <row r="71" spans="1:10" x14ac:dyDescent="0.35">
      <c r="A71" s="2" t="s">
        <v>89</v>
      </c>
      <c r="B71" s="2">
        <v>1006</v>
      </c>
      <c r="C71" s="2">
        <v>836</v>
      </c>
      <c r="D71" s="2">
        <v>1</v>
      </c>
      <c r="E71" s="2">
        <v>0</v>
      </c>
      <c r="F71" s="2">
        <v>169</v>
      </c>
      <c r="G71" s="2">
        <v>0</v>
      </c>
      <c r="H71" s="2" t="s">
        <v>165</v>
      </c>
      <c r="I71" s="2" t="s">
        <v>11</v>
      </c>
      <c r="J71" s="3">
        <f t="shared" si="1"/>
        <v>0.16898608349900596</v>
      </c>
    </row>
    <row r="72" spans="1:10" x14ac:dyDescent="0.35">
      <c r="A72" s="2" t="s">
        <v>90</v>
      </c>
      <c r="B72" s="2">
        <v>1006</v>
      </c>
      <c r="C72" s="2">
        <v>896</v>
      </c>
      <c r="D72" s="2">
        <v>0</v>
      </c>
      <c r="E72" s="2">
        <v>0</v>
      </c>
      <c r="F72" s="2">
        <v>110</v>
      </c>
      <c r="G72" s="2">
        <v>0</v>
      </c>
      <c r="H72" s="2" t="s">
        <v>164</v>
      </c>
      <c r="I72" s="2" t="s">
        <v>11</v>
      </c>
      <c r="J72" s="3">
        <f t="shared" si="1"/>
        <v>0.10934393638170974</v>
      </c>
    </row>
    <row r="73" spans="1:10" x14ac:dyDescent="0.35">
      <c r="A73" s="2" t="s">
        <v>92</v>
      </c>
      <c r="B73" s="2">
        <v>1006</v>
      </c>
      <c r="C73" s="2">
        <v>934</v>
      </c>
      <c r="D73" s="2">
        <v>0</v>
      </c>
      <c r="E73" s="2">
        <v>0</v>
      </c>
      <c r="F73" s="2">
        <v>72</v>
      </c>
      <c r="G73" s="2">
        <v>0</v>
      </c>
      <c r="H73" s="2" t="s">
        <v>122</v>
      </c>
      <c r="I73" s="2" t="s">
        <v>11</v>
      </c>
      <c r="J73" s="3">
        <f t="shared" si="1"/>
        <v>7.1570576540755465E-2</v>
      </c>
    </row>
    <row r="74" spans="1:10" x14ac:dyDescent="0.35">
      <c r="A74" s="2" t="s">
        <v>93</v>
      </c>
      <c r="B74" s="2">
        <v>1006</v>
      </c>
      <c r="C74" s="2">
        <v>954</v>
      </c>
      <c r="D74" s="2">
        <v>0</v>
      </c>
      <c r="E74" s="2">
        <v>0</v>
      </c>
      <c r="F74" s="2">
        <v>52</v>
      </c>
      <c r="G74" s="2">
        <v>0</v>
      </c>
      <c r="H74" s="2" t="s">
        <v>166</v>
      </c>
      <c r="I74" s="2" t="s">
        <v>11</v>
      </c>
      <c r="J74" s="3">
        <f t="shared" si="1"/>
        <v>5.168986083499006E-2</v>
      </c>
    </row>
    <row r="75" spans="1:10" x14ac:dyDescent="0.35">
      <c r="A75" s="2" t="s">
        <v>94</v>
      </c>
      <c r="B75" s="2">
        <v>1006</v>
      </c>
      <c r="C75" s="2">
        <v>932</v>
      </c>
      <c r="D75" s="2">
        <v>2</v>
      </c>
      <c r="E75" s="2">
        <v>0</v>
      </c>
      <c r="F75" s="2">
        <v>72</v>
      </c>
      <c r="G75" s="2">
        <v>0</v>
      </c>
      <c r="H75" s="2" t="s">
        <v>131</v>
      </c>
      <c r="I75" s="2" t="s">
        <v>11</v>
      </c>
      <c r="J75" s="3">
        <f t="shared" si="1"/>
        <v>7.3558648111332003E-2</v>
      </c>
    </row>
    <row r="76" spans="1:10" x14ac:dyDescent="0.35">
      <c r="A76" s="2" t="s">
        <v>95</v>
      </c>
      <c r="B76" s="2">
        <v>1006</v>
      </c>
      <c r="C76" s="2">
        <v>937</v>
      </c>
      <c r="D76" s="2">
        <v>1</v>
      </c>
      <c r="E76" s="2">
        <v>0</v>
      </c>
      <c r="F76" s="2">
        <v>68</v>
      </c>
      <c r="G76" s="2">
        <v>0</v>
      </c>
      <c r="H76" s="2" t="s">
        <v>167</v>
      </c>
      <c r="I76" s="2" t="s">
        <v>11</v>
      </c>
      <c r="J76" s="3">
        <f t="shared" si="1"/>
        <v>6.8588469184890657E-2</v>
      </c>
    </row>
    <row r="77" spans="1:10" x14ac:dyDescent="0.35">
      <c r="A77" s="2" t="s">
        <v>96</v>
      </c>
      <c r="B77" s="2">
        <v>1006</v>
      </c>
      <c r="C77" s="2">
        <v>816</v>
      </c>
      <c r="D77" s="2">
        <v>0</v>
      </c>
      <c r="E77" s="2">
        <v>0</v>
      </c>
      <c r="F77" s="2">
        <v>190</v>
      </c>
      <c r="G77" s="2">
        <v>0</v>
      </c>
      <c r="H77" s="2" t="s">
        <v>168</v>
      </c>
      <c r="I77" s="2" t="s">
        <v>11</v>
      </c>
      <c r="J77" s="3">
        <f t="shared" si="1"/>
        <v>0.18886679920477137</v>
      </c>
    </row>
    <row r="78" spans="1:10" x14ac:dyDescent="0.35">
      <c r="A78" s="2" t="s">
        <v>97</v>
      </c>
      <c r="B78" s="2">
        <v>1006</v>
      </c>
      <c r="C78" s="2">
        <v>893</v>
      </c>
      <c r="D78" s="2">
        <v>1</v>
      </c>
      <c r="E78" s="2">
        <v>0</v>
      </c>
      <c r="F78" s="2">
        <v>112</v>
      </c>
      <c r="G78" s="2">
        <v>0</v>
      </c>
      <c r="H78" s="2" t="s">
        <v>169</v>
      </c>
      <c r="I78" s="2" t="s">
        <v>11</v>
      </c>
      <c r="J78" s="3">
        <f t="shared" si="1"/>
        <v>0.11232604373757456</v>
      </c>
    </row>
    <row r="79" spans="1:10" x14ac:dyDescent="0.35">
      <c r="A79" s="2" t="s">
        <v>98</v>
      </c>
      <c r="B79" s="2">
        <v>1006</v>
      </c>
      <c r="C79" s="2">
        <v>904</v>
      </c>
      <c r="D79" s="2">
        <v>0</v>
      </c>
      <c r="E79" s="2">
        <v>0</v>
      </c>
      <c r="F79" s="2">
        <v>102</v>
      </c>
      <c r="G79" s="2">
        <v>0</v>
      </c>
      <c r="H79" s="2" t="s">
        <v>157</v>
      </c>
      <c r="I79" s="2" t="s">
        <v>11</v>
      </c>
      <c r="J79" s="3">
        <f t="shared" si="1"/>
        <v>0.10139165009940358</v>
      </c>
    </row>
    <row r="80" spans="1:10" x14ac:dyDescent="0.35">
      <c r="A80" s="2" t="s">
        <v>99</v>
      </c>
      <c r="B80" s="2">
        <v>1006</v>
      </c>
      <c r="C80" s="2">
        <v>874</v>
      </c>
      <c r="D80" s="2">
        <v>0</v>
      </c>
      <c r="E80" s="2">
        <v>0</v>
      </c>
      <c r="F80" s="2">
        <v>132</v>
      </c>
      <c r="G80" s="2">
        <v>0</v>
      </c>
      <c r="H80" s="2" t="s">
        <v>170</v>
      </c>
      <c r="I80" s="2" t="s">
        <v>11</v>
      </c>
      <c r="J80" s="3">
        <f t="shared" si="1"/>
        <v>0.1312127236580517</v>
      </c>
    </row>
    <row r="81" spans="1:10" x14ac:dyDescent="0.35">
      <c r="A81" s="2" t="s">
        <v>100</v>
      </c>
      <c r="B81" s="2">
        <v>1006</v>
      </c>
      <c r="C81" s="2">
        <v>771</v>
      </c>
      <c r="D81" s="2">
        <v>2</v>
      </c>
      <c r="E81" s="2">
        <v>0</v>
      </c>
      <c r="F81" s="2">
        <v>233</v>
      </c>
      <c r="G81" s="2">
        <v>0</v>
      </c>
      <c r="H81" s="2" t="s">
        <v>171</v>
      </c>
      <c r="I81" s="2" t="s">
        <v>11</v>
      </c>
      <c r="J81" s="3">
        <f t="shared" si="1"/>
        <v>0.23359840954274355</v>
      </c>
    </row>
    <row r="82" spans="1:10" x14ac:dyDescent="0.35">
      <c r="A82" s="2" t="s">
        <v>101</v>
      </c>
      <c r="B82" s="2">
        <v>1006</v>
      </c>
      <c r="C82" s="2">
        <v>935</v>
      </c>
      <c r="D82" s="2">
        <v>0</v>
      </c>
      <c r="E82" s="2">
        <v>0</v>
      </c>
      <c r="F82" s="2">
        <v>71</v>
      </c>
      <c r="G82" s="2">
        <v>0</v>
      </c>
      <c r="H82" s="2" t="s">
        <v>172</v>
      </c>
      <c r="I82" s="2" t="s">
        <v>11</v>
      </c>
      <c r="J82" s="3">
        <f t="shared" si="1"/>
        <v>7.0576540755467196E-2</v>
      </c>
    </row>
    <row r="83" spans="1:10" x14ac:dyDescent="0.35">
      <c r="A83" s="2" t="s">
        <v>102</v>
      </c>
      <c r="B83" s="2">
        <v>1006</v>
      </c>
      <c r="C83" s="2">
        <v>957</v>
      </c>
      <c r="D83" s="2">
        <v>1</v>
      </c>
      <c r="E83" s="2">
        <v>0</v>
      </c>
      <c r="F83" s="2">
        <v>48</v>
      </c>
      <c r="G83" s="2">
        <v>0</v>
      </c>
      <c r="H83" s="2" t="s">
        <v>173</v>
      </c>
      <c r="I83" s="2" t="s">
        <v>11</v>
      </c>
      <c r="J83" s="3">
        <f t="shared" si="1"/>
        <v>4.8707753479125246E-2</v>
      </c>
    </row>
    <row r="84" spans="1:10" x14ac:dyDescent="0.35">
      <c r="A84" s="2" t="s">
        <v>103</v>
      </c>
      <c r="B84" s="2">
        <v>1006</v>
      </c>
      <c r="C84" s="2">
        <v>918</v>
      </c>
      <c r="D84" s="2">
        <v>0</v>
      </c>
      <c r="E84" s="2">
        <v>0</v>
      </c>
      <c r="F84" s="2">
        <v>88</v>
      </c>
      <c r="G84" s="2">
        <v>0</v>
      </c>
      <c r="H84" s="2" t="s">
        <v>174</v>
      </c>
      <c r="I84" s="2" t="s">
        <v>11</v>
      </c>
      <c r="J84" s="3">
        <f t="shared" si="1"/>
        <v>8.74751491053678E-2</v>
      </c>
    </row>
    <row r="85" spans="1:10" x14ac:dyDescent="0.35">
      <c r="A85" s="2" t="s">
        <v>104</v>
      </c>
      <c r="B85" s="2">
        <v>1006</v>
      </c>
      <c r="C85" s="2">
        <v>963</v>
      </c>
      <c r="D85" s="2">
        <v>0</v>
      </c>
      <c r="E85" s="2">
        <v>0</v>
      </c>
      <c r="F85" s="2">
        <v>43</v>
      </c>
      <c r="G85" s="2">
        <v>0</v>
      </c>
      <c r="H85" s="2" t="s">
        <v>175</v>
      </c>
      <c r="I85" s="2" t="s">
        <v>11</v>
      </c>
      <c r="J85" s="3">
        <f t="shared" si="1"/>
        <v>4.2743538767395624E-2</v>
      </c>
    </row>
    <row r="86" spans="1:10" x14ac:dyDescent="0.35">
      <c r="A86" s="2" t="s">
        <v>105</v>
      </c>
      <c r="B86" s="2">
        <v>1006</v>
      </c>
      <c r="C86" s="2">
        <v>926</v>
      </c>
      <c r="D86" s="2">
        <v>1</v>
      </c>
      <c r="E86" s="2">
        <v>0</v>
      </c>
      <c r="F86" s="2">
        <v>79</v>
      </c>
      <c r="G86" s="2">
        <v>0</v>
      </c>
      <c r="H86" s="2" t="s">
        <v>176</v>
      </c>
      <c r="I86" s="2" t="s">
        <v>11</v>
      </c>
      <c r="J86" s="3">
        <f t="shared" si="1"/>
        <v>7.9522862823061632E-2</v>
      </c>
    </row>
    <row r="87" spans="1:10" x14ac:dyDescent="0.35">
      <c r="A87" s="2" t="s">
        <v>106</v>
      </c>
      <c r="B87" s="2">
        <v>1006</v>
      </c>
      <c r="C87" s="2">
        <v>902</v>
      </c>
      <c r="D87" s="2">
        <v>0</v>
      </c>
      <c r="E87" s="2">
        <v>0</v>
      </c>
      <c r="F87" s="2">
        <v>104</v>
      </c>
      <c r="G87" s="2">
        <v>0</v>
      </c>
      <c r="H87" s="2" t="s">
        <v>177</v>
      </c>
      <c r="I87" s="2" t="s">
        <v>11</v>
      </c>
      <c r="J87" s="3">
        <f t="shared" si="1"/>
        <v>0.10337972166998012</v>
      </c>
    </row>
    <row r="88" spans="1:10" x14ac:dyDescent="0.35">
      <c r="A88" s="2" t="s">
        <v>107</v>
      </c>
      <c r="B88" s="2">
        <v>1006</v>
      </c>
      <c r="C88" s="2">
        <v>839</v>
      </c>
      <c r="D88" s="2">
        <v>1</v>
      </c>
      <c r="E88" s="2">
        <v>0</v>
      </c>
      <c r="F88" s="2">
        <v>166</v>
      </c>
      <c r="G88" s="2">
        <v>0</v>
      </c>
      <c r="H88" s="2" t="s">
        <v>178</v>
      </c>
      <c r="I88" s="2" t="s">
        <v>11</v>
      </c>
      <c r="J88" s="3">
        <f t="shared" si="1"/>
        <v>0.16600397614314116</v>
      </c>
    </row>
    <row r="89" spans="1:10" x14ac:dyDescent="0.35">
      <c r="A89" s="2" t="s">
        <v>108</v>
      </c>
      <c r="B89" s="2">
        <v>1006</v>
      </c>
      <c r="C89" s="2">
        <v>875</v>
      </c>
      <c r="D89" s="2">
        <v>1</v>
      </c>
      <c r="E89" s="2">
        <v>0</v>
      </c>
      <c r="F89" s="2">
        <v>130</v>
      </c>
      <c r="G89" s="2">
        <v>0</v>
      </c>
      <c r="H89" s="2" t="s">
        <v>179</v>
      </c>
      <c r="I89" s="2" t="s">
        <v>11</v>
      </c>
      <c r="J89" s="3">
        <f t="shared" si="1"/>
        <v>0.13021868787276342</v>
      </c>
    </row>
    <row r="90" spans="1:10" x14ac:dyDescent="0.35">
      <c r="A90" s="2" t="s">
        <v>109</v>
      </c>
      <c r="B90" s="2">
        <v>1006</v>
      </c>
      <c r="C90" s="2">
        <v>814</v>
      </c>
      <c r="D90" s="2">
        <v>2</v>
      </c>
      <c r="E90" s="2">
        <v>0</v>
      </c>
      <c r="F90" s="2">
        <v>190</v>
      </c>
      <c r="G90" s="2">
        <v>0</v>
      </c>
      <c r="H90" s="2" t="s">
        <v>180</v>
      </c>
      <c r="I90" s="2" t="s">
        <v>11</v>
      </c>
      <c r="J90" s="3">
        <f t="shared" si="1"/>
        <v>0.19085487077534791</v>
      </c>
    </row>
    <row r="91" spans="1:10" x14ac:dyDescent="0.35">
      <c r="A91" s="2" t="s">
        <v>110</v>
      </c>
      <c r="B91" s="2">
        <v>1006</v>
      </c>
      <c r="C91" s="2">
        <v>927</v>
      </c>
      <c r="D91" s="2">
        <v>0</v>
      </c>
      <c r="E91" s="2">
        <v>0</v>
      </c>
      <c r="F91" s="2">
        <v>79</v>
      </c>
      <c r="G91" s="2">
        <v>0</v>
      </c>
      <c r="H91" s="2" t="s">
        <v>151</v>
      </c>
      <c r="I91" s="2" t="s">
        <v>11</v>
      </c>
      <c r="J91" s="3">
        <f t="shared" si="1"/>
        <v>7.8528827037773363E-2</v>
      </c>
    </row>
    <row r="92" spans="1:10" x14ac:dyDescent="0.35">
      <c r="A92" s="2" t="s">
        <v>652</v>
      </c>
      <c r="J92">
        <f>AVERAGE(J2:J91)</f>
        <v>0.11180693616081293</v>
      </c>
    </row>
    <row r="93" spans="1:10" x14ac:dyDescent="0.35">
      <c r="A93" s="2" t="s">
        <v>653</v>
      </c>
      <c r="J93" s="5">
        <f>MEDIAN(J2:J91)</f>
        <v>9.2942345924453273E-2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3"/>
  <sheetViews>
    <sheetView workbookViewId="0">
      <pane xSplit="1" ySplit="1" topLeftCell="E71" activePane="bottomRight" state="frozen"/>
      <selection pane="topRight"/>
      <selection pane="bottomLeft"/>
      <selection pane="bottomRight" activeCell="H94" sqref="H94"/>
    </sheetView>
  </sheetViews>
  <sheetFormatPr defaultRowHeight="14.5" x14ac:dyDescent="0.35"/>
  <cols>
    <col min="1" max="1" width="32" customWidth="1"/>
    <col min="2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>
        <v>7226</v>
      </c>
      <c r="C2" s="2">
        <v>6965</v>
      </c>
      <c r="D2" s="2">
        <v>8</v>
      </c>
      <c r="E2" s="2">
        <v>52</v>
      </c>
      <c r="F2" s="2">
        <v>201</v>
      </c>
      <c r="G2" s="2">
        <v>0</v>
      </c>
      <c r="H2" s="2" t="s">
        <v>181</v>
      </c>
      <c r="I2" s="2" t="s">
        <v>182</v>
      </c>
      <c r="J2" s="3">
        <f>(D2+E2+F2)/B2</f>
        <v>3.6119568225851093E-2</v>
      </c>
    </row>
    <row r="3" spans="1:10" x14ac:dyDescent="0.35">
      <c r="A3" s="2" t="s">
        <v>12</v>
      </c>
      <c r="B3" s="2">
        <v>7226</v>
      </c>
      <c r="C3" s="2">
        <v>6845</v>
      </c>
      <c r="D3" s="2">
        <v>7</v>
      </c>
      <c r="E3" s="2">
        <v>39</v>
      </c>
      <c r="F3" s="2">
        <v>335</v>
      </c>
      <c r="G3" s="2">
        <v>0</v>
      </c>
      <c r="H3" s="2" t="s">
        <v>183</v>
      </c>
      <c r="I3" s="2" t="s">
        <v>184</v>
      </c>
      <c r="J3" s="3">
        <f t="shared" ref="J3:J66" si="0">(D3+E3+F3)/B3</f>
        <v>5.2726266260725158E-2</v>
      </c>
    </row>
    <row r="4" spans="1:10" x14ac:dyDescent="0.35">
      <c r="A4" s="2" t="s">
        <v>13</v>
      </c>
      <c r="B4" s="2">
        <v>7226</v>
      </c>
      <c r="C4" s="2">
        <v>6835</v>
      </c>
      <c r="D4" s="2">
        <v>12</v>
      </c>
      <c r="E4" s="2">
        <v>42</v>
      </c>
      <c r="F4" s="2">
        <v>337</v>
      </c>
      <c r="G4" s="2">
        <v>0</v>
      </c>
      <c r="H4" s="2" t="s">
        <v>185</v>
      </c>
      <c r="I4" s="2" t="s">
        <v>186</v>
      </c>
      <c r="J4" s="3">
        <f t="shared" si="0"/>
        <v>5.4110157763631331E-2</v>
      </c>
    </row>
    <row r="5" spans="1:10" x14ac:dyDescent="0.35">
      <c r="A5" s="2" t="s">
        <v>14</v>
      </c>
      <c r="B5" s="2">
        <v>7226</v>
      </c>
      <c r="C5" s="2">
        <v>6872</v>
      </c>
      <c r="D5" s="2">
        <v>15</v>
      </c>
      <c r="E5" s="2">
        <v>38</v>
      </c>
      <c r="F5" s="2">
        <v>301</v>
      </c>
      <c r="G5" s="2">
        <v>0</v>
      </c>
      <c r="H5" s="2" t="s">
        <v>187</v>
      </c>
      <c r="I5" s="2" t="s">
        <v>188</v>
      </c>
      <c r="J5" s="3">
        <f t="shared" si="0"/>
        <v>4.8989759202878493E-2</v>
      </c>
    </row>
    <row r="6" spans="1:10" x14ac:dyDescent="0.35">
      <c r="A6" s="2" t="s">
        <v>16</v>
      </c>
      <c r="B6" s="2">
        <v>7226</v>
      </c>
      <c r="C6" s="2">
        <v>6803</v>
      </c>
      <c r="D6" s="2">
        <v>14</v>
      </c>
      <c r="E6" s="2">
        <v>41</v>
      </c>
      <c r="F6" s="2">
        <v>368</v>
      </c>
      <c r="G6" s="2">
        <v>0</v>
      </c>
      <c r="H6" s="2" t="s">
        <v>189</v>
      </c>
      <c r="I6" s="2" t="s">
        <v>190</v>
      </c>
      <c r="J6" s="3">
        <f t="shared" si="0"/>
        <v>5.8538610572931082E-2</v>
      </c>
    </row>
    <row r="7" spans="1:10" x14ac:dyDescent="0.35">
      <c r="A7" s="2" t="s">
        <v>18</v>
      </c>
      <c r="B7" s="2">
        <v>7226</v>
      </c>
      <c r="C7" s="2">
        <v>6823</v>
      </c>
      <c r="D7" s="2">
        <v>17</v>
      </c>
      <c r="E7" s="2">
        <v>44</v>
      </c>
      <c r="F7" s="2">
        <v>342</v>
      </c>
      <c r="G7" s="2">
        <v>0</v>
      </c>
      <c r="H7" s="2" t="s">
        <v>191</v>
      </c>
      <c r="I7" s="2" t="s">
        <v>192</v>
      </c>
      <c r="J7" s="3">
        <f t="shared" si="0"/>
        <v>5.5770827567118736E-2</v>
      </c>
    </row>
    <row r="8" spans="1:10" x14ac:dyDescent="0.35">
      <c r="A8" s="2" t="s">
        <v>19</v>
      </c>
      <c r="B8" s="2">
        <v>7226</v>
      </c>
      <c r="C8" s="2">
        <v>6853</v>
      </c>
      <c r="D8" s="2">
        <v>15</v>
      </c>
      <c r="E8" s="2">
        <v>41</v>
      </c>
      <c r="F8" s="2">
        <v>317</v>
      </c>
      <c r="G8" s="2">
        <v>0</v>
      </c>
      <c r="H8" s="2" t="s">
        <v>193</v>
      </c>
      <c r="I8" s="2" t="s">
        <v>190</v>
      </c>
      <c r="J8" s="3">
        <f t="shared" si="0"/>
        <v>5.1619153058400223E-2</v>
      </c>
    </row>
    <row r="9" spans="1:10" x14ac:dyDescent="0.35">
      <c r="A9" s="2" t="s">
        <v>20</v>
      </c>
      <c r="B9" s="2">
        <v>7226</v>
      </c>
      <c r="C9" s="2">
        <v>6834</v>
      </c>
      <c r="D9" s="2">
        <v>18</v>
      </c>
      <c r="E9" s="2">
        <v>38</v>
      </c>
      <c r="F9" s="2">
        <v>336</v>
      </c>
      <c r="G9" s="2">
        <v>0</v>
      </c>
      <c r="H9" s="2" t="s">
        <v>194</v>
      </c>
      <c r="I9" s="2" t="s">
        <v>188</v>
      </c>
      <c r="J9" s="3">
        <f t="shared" si="0"/>
        <v>5.4248546913921947E-2</v>
      </c>
    </row>
    <row r="10" spans="1:10" x14ac:dyDescent="0.35">
      <c r="A10" s="2" t="s">
        <v>21</v>
      </c>
      <c r="B10" s="2">
        <v>7226</v>
      </c>
      <c r="C10" s="2">
        <v>6793</v>
      </c>
      <c r="D10" s="2">
        <v>19</v>
      </c>
      <c r="E10" s="2">
        <v>43</v>
      </c>
      <c r="F10" s="2">
        <v>371</v>
      </c>
      <c r="G10" s="2">
        <v>0</v>
      </c>
      <c r="H10" s="2" t="s">
        <v>195</v>
      </c>
      <c r="I10" s="2" t="s">
        <v>196</v>
      </c>
      <c r="J10" s="3">
        <f t="shared" si="0"/>
        <v>5.9922502075837256E-2</v>
      </c>
    </row>
    <row r="11" spans="1:10" x14ac:dyDescent="0.35">
      <c r="A11" s="2" t="s">
        <v>22</v>
      </c>
      <c r="B11" s="2">
        <v>7226</v>
      </c>
      <c r="C11" s="2">
        <v>6626</v>
      </c>
      <c r="D11" s="2">
        <v>12</v>
      </c>
      <c r="E11" s="2">
        <v>33</v>
      </c>
      <c r="F11" s="2">
        <v>555</v>
      </c>
      <c r="G11" s="2">
        <v>0</v>
      </c>
      <c r="H11" s="2" t="s">
        <v>197</v>
      </c>
      <c r="I11" s="2" t="s">
        <v>198</v>
      </c>
      <c r="J11" s="3">
        <f t="shared" si="0"/>
        <v>8.3033490174370325E-2</v>
      </c>
    </row>
    <row r="12" spans="1:10" x14ac:dyDescent="0.35">
      <c r="A12" s="2" t="s">
        <v>23</v>
      </c>
      <c r="B12" s="2">
        <v>7226</v>
      </c>
      <c r="C12" s="2">
        <v>6792</v>
      </c>
      <c r="D12" s="2">
        <v>11</v>
      </c>
      <c r="E12" s="2">
        <v>39</v>
      </c>
      <c r="F12" s="2">
        <v>384</v>
      </c>
      <c r="G12" s="2">
        <v>0</v>
      </c>
      <c r="H12" s="2" t="s">
        <v>199</v>
      </c>
      <c r="I12" s="2" t="s">
        <v>184</v>
      </c>
      <c r="J12" s="3">
        <f t="shared" si="0"/>
        <v>6.0060891226127872E-2</v>
      </c>
    </row>
    <row r="13" spans="1:10" x14ac:dyDescent="0.35">
      <c r="A13" s="2" t="s">
        <v>24</v>
      </c>
      <c r="B13" s="2">
        <v>7226</v>
      </c>
      <c r="C13" s="2">
        <v>6884</v>
      </c>
      <c r="D13" s="2">
        <v>11</v>
      </c>
      <c r="E13" s="2">
        <v>42</v>
      </c>
      <c r="F13" s="2">
        <v>289</v>
      </c>
      <c r="G13" s="2">
        <v>0</v>
      </c>
      <c r="H13" s="2" t="s">
        <v>15</v>
      </c>
      <c r="I13" s="2" t="s">
        <v>186</v>
      </c>
      <c r="J13" s="3">
        <f t="shared" si="0"/>
        <v>4.7329089399391087E-2</v>
      </c>
    </row>
    <row r="14" spans="1:10" x14ac:dyDescent="0.35">
      <c r="A14" s="2" t="s">
        <v>26</v>
      </c>
      <c r="B14" s="2">
        <v>7226</v>
      </c>
      <c r="C14" s="2">
        <v>6837</v>
      </c>
      <c r="D14" s="2">
        <v>15</v>
      </c>
      <c r="E14" s="2">
        <v>40</v>
      </c>
      <c r="F14" s="2">
        <v>334</v>
      </c>
      <c r="G14" s="2">
        <v>0</v>
      </c>
      <c r="H14" s="2" t="s">
        <v>200</v>
      </c>
      <c r="I14" s="2" t="s">
        <v>201</v>
      </c>
      <c r="J14" s="3">
        <f t="shared" si="0"/>
        <v>5.3833379463050099E-2</v>
      </c>
    </row>
    <row r="15" spans="1:10" x14ac:dyDescent="0.35">
      <c r="A15" s="2" t="s">
        <v>28</v>
      </c>
      <c r="B15" s="2">
        <v>7226</v>
      </c>
      <c r="C15" s="2">
        <v>6825</v>
      </c>
      <c r="D15" s="2">
        <v>19</v>
      </c>
      <c r="E15" s="2">
        <v>40</v>
      </c>
      <c r="F15" s="2">
        <v>342</v>
      </c>
      <c r="G15" s="2">
        <v>0</v>
      </c>
      <c r="H15" s="2" t="s">
        <v>202</v>
      </c>
      <c r="I15" s="2" t="s">
        <v>201</v>
      </c>
      <c r="J15" s="3">
        <f t="shared" si="0"/>
        <v>5.5494049266537504E-2</v>
      </c>
    </row>
    <row r="16" spans="1:10" x14ac:dyDescent="0.35">
      <c r="A16" s="2" t="s">
        <v>29</v>
      </c>
      <c r="B16" s="2">
        <v>7226</v>
      </c>
      <c r="C16" s="2">
        <v>6850</v>
      </c>
      <c r="D16" s="2">
        <v>13</v>
      </c>
      <c r="E16" s="2">
        <v>38</v>
      </c>
      <c r="F16" s="2">
        <v>325</v>
      </c>
      <c r="G16" s="2">
        <v>0</v>
      </c>
      <c r="H16" s="2" t="s">
        <v>203</v>
      </c>
      <c r="I16" s="2" t="s">
        <v>188</v>
      </c>
      <c r="J16" s="3">
        <f t="shared" si="0"/>
        <v>5.2034320509272071E-2</v>
      </c>
    </row>
    <row r="17" spans="1:10" x14ac:dyDescent="0.35">
      <c r="A17" s="2" t="s">
        <v>30</v>
      </c>
      <c r="B17" s="2">
        <v>7226</v>
      </c>
      <c r="C17" s="2">
        <v>6895</v>
      </c>
      <c r="D17" s="2">
        <v>17</v>
      </c>
      <c r="E17" s="2">
        <v>44</v>
      </c>
      <c r="F17" s="2">
        <v>270</v>
      </c>
      <c r="G17" s="2">
        <v>0</v>
      </c>
      <c r="H17" s="2" t="s">
        <v>204</v>
      </c>
      <c r="I17" s="2" t="s">
        <v>192</v>
      </c>
      <c r="J17" s="3">
        <f t="shared" si="0"/>
        <v>4.5806808746194298E-2</v>
      </c>
    </row>
    <row r="18" spans="1:10" x14ac:dyDescent="0.35">
      <c r="A18" s="2" t="s">
        <v>31</v>
      </c>
      <c r="B18" s="2">
        <v>7226</v>
      </c>
      <c r="C18" s="2">
        <v>6880</v>
      </c>
      <c r="D18" s="2">
        <v>20</v>
      </c>
      <c r="E18" s="2">
        <v>45</v>
      </c>
      <c r="F18" s="2">
        <v>281</v>
      </c>
      <c r="G18" s="2">
        <v>0</v>
      </c>
      <c r="H18" s="2" t="s">
        <v>205</v>
      </c>
      <c r="I18" s="2" t="s">
        <v>206</v>
      </c>
      <c r="J18" s="3">
        <f t="shared" si="0"/>
        <v>4.7882646000553558E-2</v>
      </c>
    </row>
    <row r="19" spans="1:10" x14ac:dyDescent="0.35">
      <c r="A19" s="2" t="s">
        <v>32</v>
      </c>
      <c r="B19" s="2">
        <v>7226</v>
      </c>
      <c r="C19" s="2">
        <v>6897</v>
      </c>
      <c r="D19" s="2">
        <v>8</v>
      </c>
      <c r="E19" s="2">
        <v>44</v>
      </c>
      <c r="F19" s="2">
        <v>277</v>
      </c>
      <c r="G19" s="2">
        <v>0</v>
      </c>
      <c r="H19" s="2" t="s">
        <v>207</v>
      </c>
      <c r="I19" s="2" t="s">
        <v>192</v>
      </c>
      <c r="J19" s="3">
        <f t="shared" si="0"/>
        <v>4.5530030445613066E-2</v>
      </c>
    </row>
    <row r="20" spans="1:10" x14ac:dyDescent="0.35">
      <c r="A20" s="2" t="s">
        <v>33</v>
      </c>
      <c r="B20" s="2">
        <v>7226</v>
      </c>
      <c r="C20" s="2">
        <v>6862</v>
      </c>
      <c r="D20" s="2">
        <v>15</v>
      </c>
      <c r="E20" s="2">
        <v>43</v>
      </c>
      <c r="F20" s="2">
        <v>306</v>
      </c>
      <c r="G20" s="2">
        <v>0</v>
      </c>
      <c r="H20" s="2" t="s">
        <v>208</v>
      </c>
      <c r="I20" s="2" t="s">
        <v>196</v>
      </c>
      <c r="J20" s="3">
        <f t="shared" si="0"/>
        <v>5.0373650705784666E-2</v>
      </c>
    </row>
    <row r="21" spans="1:10" x14ac:dyDescent="0.35">
      <c r="A21" s="2" t="s">
        <v>34</v>
      </c>
      <c r="B21" s="2">
        <v>7226</v>
      </c>
      <c r="C21" s="2">
        <v>6864</v>
      </c>
      <c r="D21" s="2">
        <v>9</v>
      </c>
      <c r="E21" s="2">
        <v>42</v>
      </c>
      <c r="F21" s="2">
        <v>311</v>
      </c>
      <c r="G21" s="2">
        <v>0</v>
      </c>
      <c r="H21" s="2" t="s">
        <v>27</v>
      </c>
      <c r="I21" s="2" t="s">
        <v>186</v>
      </c>
      <c r="J21" s="3">
        <f t="shared" si="0"/>
        <v>5.0096872405203434E-2</v>
      </c>
    </row>
    <row r="22" spans="1:10" x14ac:dyDescent="0.35">
      <c r="A22" s="2" t="s">
        <v>35</v>
      </c>
      <c r="B22" s="2">
        <v>7226</v>
      </c>
      <c r="C22" s="2">
        <v>6887</v>
      </c>
      <c r="D22" s="2">
        <v>12</v>
      </c>
      <c r="E22" s="2">
        <v>43</v>
      </c>
      <c r="F22" s="2">
        <v>284</v>
      </c>
      <c r="G22" s="2">
        <v>0</v>
      </c>
      <c r="H22" s="2" t="s">
        <v>209</v>
      </c>
      <c r="I22" s="2" t="s">
        <v>196</v>
      </c>
      <c r="J22" s="3">
        <f t="shared" si="0"/>
        <v>4.6913921948519233E-2</v>
      </c>
    </row>
    <row r="23" spans="1:10" x14ac:dyDescent="0.35">
      <c r="A23" s="2" t="s">
        <v>36</v>
      </c>
      <c r="B23" s="2">
        <v>7226</v>
      </c>
      <c r="C23" s="2">
        <v>6893</v>
      </c>
      <c r="D23" s="2">
        <v>12</v>
      </c>
      <c r="E23" s="2">
        <v>45</v>
      </c>
      <c r="F23" s="2">
        <v>276</v>
      </c>
      <c r="G23" s="2">
        <v>0</v>
      </c>
      <c r="H23" s="2" t="s">
        <v>210</v>
      </c>
      <c r="I23" s="2" t="s">
        <v>206</v>
      </c>
      <c r="J23" s="3">
        <f t="shared" si="0"/>
        <v>4.608358704677553E-2</v>
      </c>
    </row>
    <row r="24" spans="1:10" x14ac:dyDescent="0.35">
      <c r="A24" s="2" t="s">
        <v>37</v>
      </c>
      <c r="B24" s="2">
        <v>7226</v>
      </c>
      <c r="C24" s="2">
        <v>6804</v>
      </c>
      <c r="D24" s="2">
        <v>15</v>
      </c>
      <c r="E24" s="2">
        <v>40</v>
      </c>
      <c r="F24" s="2">
        <v>367</v>
      </c>
      <c r="G24" s="2">
        <v>0</v>
      </c>
      <c r="H24" s="2" t="s">
        <v>211</v>
      </c>
      <c r="I24" s="2" t="s">
        <v>201</v>
      </c>
      <c r="J24" s="3">
        <f t="shared" si="0"/>
        <v>5.8400221422640466E-2</v>
      </c>
    </row>
    <row r="25" spans="1:10" x14ac:dyDescent="0.35">
      <c r="A25" s="2" t="s">
        <v>38</v>
      </c>
      <c r="B25" s="2">
        <v>7226</v>
      </c>
      <c r="C25" s="2">
        <v>6878</v>
      </c>
      <c r="D25" s="2">
        <v>16</v>
      </c>
      <c r="E25" s="2">
        <v>43</v>
      </c>
      <c r="F25" s="2">
        <v>289</v>
      </c>
      <c r="G25" s="2">
        <v>0</v>
      </c>
      <c r="H25" s="2" t="s">
        <v>25</v>
      </c>
      <c r="I25" s="2" t="s">
        <v>196</v>
      </c>
      <c r="J25" s="3">
        <f t="shared" si="0"/>
        <v>4.815942430113479E-2</v>
      </c>
    </row>
    <row r="26" spans="1:10" x14ac:dyDescent="0.35">
      <c r="A26" s="2" t="s">
        <v>39</v>
      </c>
      <c r="B26" s="2">
        <v>7226</v>
      </c>
      <c r="C26" s="2">
        <v>6882</v>
      </c>
      <c r="D26" s="2">
        <v>9</v>
      </c>
      <c r="E26" s="2">
        <v>39</v>
      </c>
      <c r="F26" s="2">
        <v>296</v>
      </c>
      <c r="G26" s="2">
        <v>0</v>
      </c>
      <c r="H26" s="2" t="s">
        <v>212</v>
      </c>
      <c r="I26" s="2" t="s">
        <v>184</v>
      </c>
      <c r="J26" s="3">
        <f t="shared" si="0"/>
        <v>4.7605867699972319E-2</v>
      </c>
    </row>
    <row r="27" spans="1:10" x14ac:dyDescent="0.35">
      <c r="A27" s="2" t="s">
        <v>40</v>
      </c>
      <c r="B27" s="2">
        <v>7226</v>
      </c>
      <c r="C27" s="2">
        <v>6861</v>
      </c>
      <c r="D27" s="2">
        <v>16</v>
      </c>
      <c r="E27" s="2">
        <v>41</v>
      </c>
      <c r="F27" s="2">
        <v>308</v>
      </c>
      <c r="G27" s="2">
        <v>0</v>
      </c>
      <c r="H27" s="2" t="s">
        <v>213</v>
      </c>
      <c r="I27" s="2" t="s">
        <v>190</v>
      </c>
      <c r="J27" s="3">
        <f t="shared" si="0"/>
        <v>5.0512039856075282E-2</v>
      </c>
    </row>
    <row r="28" spans="1:10" x14ac:dyDescent="0.35">
      <c r="A28" s="2" t="s">
        <v>41</v>
      </c>
      <c r="B28" s="2">
        <v>7226</v>
      </c>
      <c r="C28" s="2">
        <v>6882</v>
      </c>
      <c r="D28" s="2">
        <v>12</v>
      </c>
      <c r="E28" s="2">
        <v>46</v>
      </c>
      <c r="F28" s="2">
        <v>286</v>
      </c>
      <c r="G28" s="2">
        <v>0</v>
      </c>
      <c r="H28" s="2" t="s">
        <v>212</v>
      </c>
      <c r="I28" s="2" t="s">
        <v>214</v>
      </c>
      <c r="J28" s="3">
        <f t="shared" si="0"/>
        <v>4.7605867699972319E-2</v>
      </c>
    </row>
    <row r="29" spans="1:10" x14ac:dyDescent="0.35">
      <c r="A29" s="2" t="s">
        <v>42</v>
      </c>
      <c r="B29" s="2">
        <v>7226</v>
      </c>
      <c r="C29" s="2">
        <v>6738</v>
      </c>
      <c r="D29" s="2">
        <v>13</v>
      </c>
      <c r="E29" s="2">
        <v>41</v>
      </c>
      <c r="F29" s="2">
        <v>434</v>
      </c>
      <c r="G29" s="2">
        <v>0</v>
      </c>
      <c r="H29" s="2" t="s">
        <v>215</v>
      </c>
      <c r="I29" s="2" t="s">
        <v>190</v>
      </c>
      <c r="J29" s="3">
        <f t="shared" si="0"/>
        <v>6.7533905341821202E-2</v>
      </c>
    </row>
    <row r="30" spans="1:10" x14ac:dyDescent="0.35">
      <c r="A30" s="2" t="s">
        <v>43</v>
      </c>
      <c r="B30" s="2">
        <v>7226</v>
      </c>
      <c r="C30" s="2">
        <v>6864</v>
      </c>
      <c r="D30" s="2">
        <v>10</v>
      </c>
      <c r="E30" s="2">
        <v>41</v>
      </c>
      <c r="F30" s="2">
        <v>311</v>
      </c>
      <c r="G30" s="2">
        <v>0</v>
      </c>
      <c r="H30" s="2" t="s">
        <v>27</v>
      </c>
      <c r="I30" s="2" t="s">
        <v>190</v>
      </c>
      <c r="J30" s="3">
        <f t="shared" si="0"/>
        <v>5.0096872405203434E-2</v>
      </c>
    </row>
    <row r="31" spans="1:10" x14ac:dyDescent="0.35">
      <c r="A31" s="2" t="s">
        <v>44</v>
      </c>
      <c r="B31" s="2">
        <v>7226</v>
      </c>
      <c r="C31" s="2">
        <v>6873</v>
      </c>
      <c r="D31" s="2">
        <v>10</v>
      </c>
      <c r="E31" s="2">
        <v>38</v>
      </c>
      <c r="F31" s="2">
        <v>305</v>
      </c>
      <c r="G31" s="2">
        <v>0</v>
      </c>
      <c r="H31" s="2" t="s">
        <v>216</v>
      </c>
      <c r="I31" s="2" t="s">
        <v>188</v>
      </c>
      <c r="J31" s="3">
        <f t="shared" si="0"/>
        <v>4.8851370052587877E-2</v>
      </c>
    </row>
    <row r="32" spans="1:10" x14ac:dyDescent="0.35">
      <c r="A32" s="2" t="s">
        <v>45</v>
      </c>
      <c r="B32" s="2">
        <v>7226</v>
      </c>
      <c r="C32" s="2">
        <v>6851</v>
      </c>
      <c r="D32" s="2">
        <v>25</v>
      </c>
      <c r="E32" s="2">
        <v>41</v>
      </c>
      <c r="F32" s="2">
        <v>309</v>
      </c>
      <c r="G32" s="2">
        <v>0</v>
      </c>
      <c r="H32" s="2" t="s">
        <v>217</v>
      </c>
      <c r="I32" s="2" t="s">
        <v>190</v>
      </c>
      <c r="J32" s="3">
        <f t="shared" si="0"/>
        <v>5.1895931358981455E-2</v>
      </c>
    </row>
    <row r="33" spans="1:10" x14ac:dyDescent="0.35">
      <c r="A33" s="2" t="s">
        <v>46</v>
      </c>
      <c r="B33" s="2">
        <v>7226</v>
      </c>
      <c r="C33" s="2">
        <v>6849</v>
      </c>
      <c r="D33" s="2">
        <v>15</v>
      </c>
      <c r="E33" s="2">
        <v>44</v>
      </c>
      <c r="F33" s="2">
        <v>318</v>
      </c>
      <c r="G33" s="2">
        <v>0</v>
      </c>
      <c r="H33" s="2" t="s">
        <v>218</v>
      </c>
      <c r="I33" s="2" t="s">
        <v>192</v>
      </c>
      <c r="J33" s="3">
        <f t="shared" si="0"/>
        <v>5.2172709659562687E-2</v>
      </c>
    </row>
    <row r="34" spans="1:10" x14ac:dyDescent="0.35">
      <c r="A34" s="2" t="s">
        <v>47</v>
      </c>
      <c r="B34" s="2">
        <v>7226</v>
      </c>
      <c r="C34" s="2">
        <v>6918</v>
      </c>
      <c r="D34" s="2">
        <v>8</v>
      </c>
      <c r="E34" s="2">
        <v>39</v>
      </c>
      <c r="F34" s="2">
        <v>261</v>
      </c>
      <c r="G34" s="2">
        <v>0</v>
      </c>
      <c r="H34" s="2" t="s">
        <v>219</v>
      </c>
      <c r="I34" s="2" t="s">
        <v>184</v>
      </c>
      <c r="J34" s="3">
        <f t="shared" si="0"/>
        <v>4.2623858289510104E-2</v>
      </c>
    </row>
    <row r="35" spans="1:10" x14ac:dyDescent="0.35">
      <c r="A35" s="2" t="s">
        <v>48</v>
      </c>
      <c r="B35" s="2">
        <v>7226</v>
      </c>
      <c r="C35" s="2">
        <v>6838</v>
      </c>
      <c r="D35" s="2">
        <v>14</v>
      </c>
      <c r="E35" s="2">
        <v>46</v>
      </c>
      <c r="F35" s="2">
        <v>328</v>
      </c>
      <c r="G35" s="2">
        <v>0</v>
      </c>
      <c r="H35" s="2" t="s">
        <v>220</v>
      </c>
      <c r="I35" s="2" t="s">
        <v>214</v>
      </c>
      <c r="J35" s="3">
        <f t="shared" si="0"/>
        <v>5.3694990312759483E-2</v>
      </c>
    </row>
    <row r="36" spans="1:10" x14ac:dyDescent="0.35">
      <c r="A36" s="2" t="s">
        <v>49</v>
      </c>
      <c r="B36" s="2">
        <v>7226</v>
      </c>
      <c r="C36" s="2">
        <v>6696</v>
      </c>
      <c r="D36" s="2">
        <v>17</v>
      </c>
      <c r="E36" s="2">
        <v>41</v>
      </c>
      <c r="F36" s="2">
        <v>472</v>
      </c>
      <c r="G36" s="2">
        <v>0</v>
      </c>
      <c r="H36" s="2" t="s">
        <v>221</v>
      </c>
      <c r="I36" s="2" t="s">
        <v>190</v>
      </c>
      <c r="J36" s="3">
        <f t="shared" si="0"/>
        <v>7.3346249654027126E-2</v>
      </c>
    </row>
    <row r="37" spans="1:10" x14ac:dyDescent="0.35">
      <c r="A37" s="2" t="s">
        <v>50</v>
      </c>
      <c r="B37" s="2">
        <v>7226</v>
      </c>
      <c r="C37" s="2">
        <v>6851</v>
      </c>
      <c r="D37" s="2">
        <v>17</v>
      </c>
      <c r="E37" s="2">
        <v>43</v>
      </c>
      <c r="F37" s="2">
        <v>315</v>
      </c>
      <c r="G37" s="2">
        <v>0</v>
      </c>
      <c r="H37" s="2" t="s">
        <v>217</v>
      </c>
      <c r="I37" s="2" t="s">
        <v>196</v>
      </c>
      <c r="J37" s="3">
        <f t="shared" si="0"/>
        <v>5.1895931358981455E-2</v>
      </c>
    </row>
    <row r="38" spans="1:10" x14ac:dyDescent="0.35">
      <c r="A38" s="2" t="s">
        <v>51</v>
      </c>
      <c r="B38" s="2">
        <v>7226</v>
      </c>
      <c r="C38" s="2">
        <v>6798</v>
      </c>
      <c r="D38" s="2">
        <v>14</v>
      </c>
      <c r="E38" s="2">
        <v>41</v>
      </c>
      <c r="F38" s="2">
        <v>373</v>
      </c>
      <c r="G38" s="2">
        <v>0</v>
      </c>
      <c r="H38" s="2" t="s">
        <v>222</v>
      </c>
      <c r="I38" s="2" t="s">
        <v>190</v>
      </c>
      <c r="J38" s="3">
        <f t="shared" si="0"/>
        <v>5.9230556324384169E-2</v>
      </c>
    </row>
    <row r="39" spans="1:10" x14ac:dyDescent="0.35">
      <c r="A39" s="2" t="s">
        <v>52</v>
      </c>
      <c r="B39" s="2">
        <v>7226</v>
      </c>
      <c r="C39" s="2">
        <v>6818</v>
      </c>
      <c r="D39" s="2">
        <v>24</v>
      </c>
      <c r="E39" s="2">
        <v>41</v>
      </c>
      <c r="F39" s="2">
        <v>343</v>
      </c>
      <c r="G39" s="2">
        <v>0</v>
      </c>
      <c r="H39" s="2" t="s">
        <v>223</v>
      </c>
      <c r="I39" s="2" t="s">
        <v>190</v>
      </c>
      <c r="J39" s="3">
        <f t="shared" si="0"/>
        <v>5.6462773318571823E-2</v>
      </c>
    </row>
    <row r="40" spans="1:10" x14ac:dyDescent="0.35">
      <c r="A40" s="2" t="s">
        <v>54</v>
      </c>
      <c r="B40" s="2">
        <v>7226</v>
      </c>
      <c r="C40" s="2">
        <v>6902</v>
      </c>
      <c r="D40" s="2">
        <v>11</v>
      </c>
      <c r="E40" s="2">
        <v>52</v>
      </c>
      <c r="F40" s="2">
        <v>261</v>
      </c>
      <c r="G40" s="2">
        <v>0</v>
      </c>
      <c r="H40" s="2" t="s">
        <v>224</v>
      </c>
      <c r="I40" s="2" t="s">
        <v>182</v>
      </c>
      <c r="J40" s="3">
        <f t="shared" si="0"/>
        <v>4.483808469415998E-2</v>
      </c>
    </row>
    <row r="41" spans="1:10" x14ac:dyDescent="0.35">
      <c r="A41" s="2" t="s">
        <v>55</v>
      </c>
      <c r="B41" s="2">
        <v>7226</v>
      </c>
      <c r="C41" s="2">
        <v>6872</v>
      </c>
      <c r="D41" s="2">
        <v>11</v>
      </c>
      <c r="E41" s="2">
        <v>46</v>
      </c>
      <c r="F41" s="2">
        <v>297</v>
      </c>
      <c r="G41" s="2">
        <v>0</v>
      </c>
      <c r="H41" s="2" t="s">
        <v>187</v>
      </c>
      <c r="I41" s="2" t="s">
        <v>214</v>
      </c>
      <c r="J41" s="3">
        <f t="shared" si="0"/>
        <v>4.8989759202878493E-2</v>
      </c>
    </row>
    <row r="42" spans="1:10" x14ac:dyDescent="0.35">
      <c r="A42" s="2" t="s">
        <v>56</v>
      </c>
      <c r="B42" s="2">
        <v>7226</v>
      </c>
      <c r="C42" s="2">
        <v>6742</v>
      </c>
      <c r="D42" s="2">
        <v>17</v>
      </c>
      <c r="E42" s="2">
        <v>37</v>
      </c>
      <c r="F42" s="2">
        <v>430</v>
      </c>
      <c r="G42" s="2">
        <v>0</v>
      </c>
      <c r="H42" s="2" t="s">
        <v>225</v>
      </c>
      <c r="I42" s="2" t="s">
        <v>226</v>
      </c>
      <c r="J42" s="3">
        <f t="shared" si="0"/>
        <v>6.6980348740658738E-2</v>
      </c>
    </row>
    <row r="43" spans="1:10" x14ac:dyDescent="0.35">
      <c r="A43" s="2" t="s">
        <v>58</v>
      </c>
      <c r="B43" s="2">
        <v>7226</v>
      </c>
      <c r="C43" s="2">
        <v>6879</v>
      </c>
      <c r="D43" s="2">
        <v>11</v>
      </c>
      <c r="E43" s="2">
        <v>45</v>
      </c>
      <c r="F43" s="2">
        <v>291</v>
      </c>
      <c r="G43" s="2">
        <v>0</v>
      </c>
      <c r="H43" s="2" t="s">
        <v>227</v>
      </c>
      <c r="I43" s="2" t="s">
        <v>206</v>
      </c>
      <c r="J43" s="3">
        <f t="shared" si="0"/>
        <v>4.8021035150844174E-2</v>
      </c>
    </row>
    <row r="44" spans="1:10" x14ac:dyDescent="0.35">
      <c r="A44" s="2" t="s">
        <v>59</v>
      </c>
      <c r="B44" s="2">
        <v>7226</v>
      </c>
      <c r="C44" s="2">
        <v>6824</v>
      </c>
      <c r="D44" s="2">
        <v>17</v>
      </c>
      <c r="E44" s="2">
        <v>36</v>
      </c>
      <c r="F44" s="2">
        <v>349</v>
      </c>
      <c r="G44" s="2">
        <v>0</v>
      </c>
      <c r="H44" s="2" t="s">
        <v>228</v>
      </c>
      <c r="I44" s="2" t="s">
        <v>229</v>
      </c>
      <c r="J44" s="3">
        <f t="shared" si="0"/>
        <v>5.563243841682812E-2</v>
      </c>
    </row>
    <row r="45" spans="1:10" x14ac:dyDescent="0.35">
      <c r="A45" s="2" t="s">
        <v>60</v>
      </c>
      <c r="B45" s="2">
        <v>7226</v>
      </c>
      <c r="C45" s="2">
        <v>6820</v>
      </c>
      <c r="D45" s="2">
        <v>16</v>
      </c>
      <c r="E45" s="2">
        <v>44</v>
      </c>
      <c r="F45" s="2">
        <v>346</v>
      </c>
      <c r="G45" s="2">
        <v>0</v>
      </c>
      <c r="H45" s="2" t="s">
        <v>230</v>
      </c>
      <c r="I45" s="2" t="s">
        <v>192</v>
      </c>
      <c r="J45" s="3">
        <f t="shared" si="0"/>
        <v>5.6185995017990591E-2</v>
      </c>
    </row>
    <row r="46" spans="1:10" x14ac:dyDescent="0.35">
      <c r="A46" s="2" t="s">
        <v>61</v>
      </c>
      <c r="B46" s="2">
        <v>7226</v>
      </c>
      <c r="C46" s="2">
        <v>6788</v>
      </c>
      <c r="D46" s="2">
        <v>16</v>
      </c>
      <c r="E46" s="2">
        <v>43</v>
      </c>
      <c r="F46" s="2">
        <v>379</v>
      </c>
      <c r="G46" s="2">
        <v>0</v>
      </c>
      <c r="H46" s="2" t="s">
        <v>145</v>
      </c>
      <c r="I46" s="2" t="s">
        <v>196</v>
      </c>
      <c r="J46" s="3">
        <f t="shared" si="0"/>
        <v>6.0614447827290342E-2</v>
      </c>
    </row>
    <row r="47" spans="1:10" x14ac:dyDescent="0.35">
      <c r="A47" s="2" t="s">
        <v>62</v>
      </c>
      <c r="B47" s="2">
        <v>7226</v>
      </c>
      <c r="C47" s="2">
        <v>6772</v>
      </c>
      <c r="D47" s="2">
        <v>19</v>
      </c>
      <c r="E47" s="2">
        <v>39</v>
      </c>
      <c r="F47" s="2">
        <v>396</v>
      </c>
      <c r="G47" s="2">
        <v>0</v>
      </c>
      <c r="H47" s="2" t="s">
        <v>231</v>
      </c>
      <c r="I47" s="2" t="s">
        <v>184</v>
      </c>
      <c r="J47" s="3">
        <f t="shared" si="0"/>
        <v>6.2828674231940218E-2</v>
      </c>
    </row>
    <row r="48" spans="1:10" x14ac:dyDescent="0.35">
      <c r="A48" s="2" t="s">
        <v>63</v>
      </c>
      <c r="B48" s="2">
        <v>7226</v>
      </c>
      <c r="C48" s="2">
        <v>6835</v>
      </c>
      <c r="D48" s="2">
        <v>11</v>
      </c>
      <c r="E48" s="2">
        <v>42</v>
      </c>
      <c r="F48" s="2">
        <v>338</v>
      </c>
      <c r="G48" s="2">
        <v>0</v>
      </c>
      <c r="H48" s="2" t="s">
        <v>185</v>
      </c>
      <c r="I48" s="2" t="s">
        <v>186</v>
      </c>
      <c r="J48" s="3">
        <f t="shared" si="0"/>
        <v>5.4110157763631331E-2</v>
      </c>
    </row>
    <row r="49" spans="1:10" x14ac:dyDescent="0.35">
      <c r="A49" s="2" t="s">
        <v>64</v>
      </c>
      <c r="B49" s="2">
        <v>7226</v>
      </c>
      <c r="C49" s="2">
        <v>6891</v>
      </c>
      <c r="D49" s="2">
        <v>8</v>
      </c>
      <c r="E49" s="2">
        <v>46</v>
      </c>
      <c r="F49" s="2">
        <v>281</v>
      </c>
      <c r="G49" s="2">
        <v>0</v>
      </c>
      <c r="H49" s="2" t="s">
        <v>232</v>
      </c>
      <c r="I49" s="2" t="s">
        <v>214</v>
      </c>
      <c r="J49" s="3">
        <f t="shared" si="0"/>
        <v>4.6360365347356769E-2</v>
      </c>
    </row>
    <row r="50" spans="1:10" x14ac:dyDescent="0.35">
      <c r="A50" s="2" t="s">
        <v>65</v>
      </c>
      <c r="B50" s="2">
        <v>7226</v>
      </c>
      <c r="C50" s="2">
        <v>6869</v>
      </c>
      <c r="D50" s="2">
        <v>8</v>
      </c>
      <c r="E50" s="2">
        <v>43</v>
      </c>
      <c r="F50" s="2">
        <v>306</v>
      </c>
      <c r="G50" s="2">
        <v>0</v>
      </c>
      <c r="H50" s="2" t="s">
        <v>233</v>
      </c>
      <c r="I50" s="2" t="s">
        <v>196</v>
      </c>
      <c r="J50" s="3">
        <f t="shared" si="0"/>
        <v>4.9404926653750347E-2</v>
      </c>
    </row>
    <row r="51" spans="1:10" x14ac:dyDescent="0.35">
      <c r="A51" s="2" t="s">
        <v>66</v>
      </c>
      <c r="B51" s="2">
        <v>7226</v>
      </c>
      <c r="C51" s="2">
        <v>6611</v>
      </c>
      <c r="D51" s="2">
        <v>24</v>
      </c>
      <c r="E51" s="2">
        <v>36</v>
      </c>
      <c r="F51" s="2">
        <v>555</v>
      </c>
      <c r="G51" s="2">
        <v>0</v>
      </c>
      <c r="H51" s="2" t="s">
        <v>234</v>
      </c>
      <c r="I51" s="2" t="s">
        <v>229</v>
      </c>
      <c r="J51" s="3">
        <f t="shared" si="0"/>
        <v>8.5109327428729592E-2</v>
      </c>
    </row>
    <row r="52" spans="1:10" x14ac:dyDescent="0.35">
      <c r="A52" s="2" t="s">
        <v>67</v>
      </c>
      <c r="B52" s="2">
        <v>7226</v>
      </c>
      <c r="C52" s="2">
        <v>6878</v>
      </c>
      <c r="D52" s="2">
        <v>15</v>
      </c>
      <c r="E52" s="2">
        <v>45</v>
      </c>
      <c r="F52" s="2">
        <v>288</v>
      </c>
      <c r="G52" s="2">
        <v>0</v>
      </c>
      <c r="H52" s="2" t="s">
        <v>25</v>
      </c>
      <c r="I52" s="2" t="s">
        <v>206</v>
      </c>
      <c r="J52" s="3">
        <f t="shared" si="0"/>
        <v>4.815942430113479E-2</v>
      </c>
    </row>
    <row r="53" spans="1:10" x14ac:dyDescent="0.35">
      <c r="A53" s="2" t="s">
        <v>68</v>
      </c>
      <c r="B53" s="2">
        <v>7226</v>
      </c>
      <c r="C53" s="2">
        <v>6865</v>
      </c>
      <c r="D53" s="2">
        <v>14</v>
      </c>
      <c r="E53" s="2">
        <v>35</v>
      </c>
      <c r="F53" s="2">
        <v>312</v>
      </c>
      <c r="G53" s="2">
        <v>0</v>
      </c>
      <c r="H53" s="2" t="s">
        <v>235</v>
      </c>
      <c r="I53" s="2" t="s">
        <v>236</v>
      </c>
      <c r="J53" s="3">
        <f t="shared" si="0"/>
        <v>4.9958483254912818E-2</v>
      </c>
    </row>
    <row r="54" spans="1:10" x14ac:dyDescent="0.35">
      <c r="A54" s="2" t="s">
        <v>69</v>
      </c>
      <c r="B54" s="2">
        <v>7226</v>
      </c>
      <c r="C54" s="2">
        <v>6888</v>
      </c>
      <c r="D54" s="2">
        <v>11</v>
      </c>
      <c r="E54" s="2">
        <v>45</v>
      </c>
      <c r="F54" s="2">
        <v>282</v>
      </c>
      <c r="G54" s="2">
        <v>0</v>
      </c>
      <c r="H54" s="2" t="s">
        <v>237</v>
      </c>
      <c r="I54" s="2" t="s">
        <v>206</v>
      </c>
      <c r="J54" s="3">
        <f t="shared" si="0"/>
        <v>4.6775532798228617E-2</v>
      </c>
    </row>
    <row r="55" spans="1:10" x14ac:dyDescent="0.35">
      <c r="A55" s="2" t="s">
        <v>71</v>
      </c>
      <c r="B55" s="2">
        <v>7226</v>
      </c>
      <c r="C55" s="2">
        <v>6837</v>
      </c>
      <c r="D55" s="2">
        <v>7</v>
      </c>
      <c r="E55" s="2">
        <v>39</v>
      </c>
      <c r="F55" s="2">
        <v>343</v>
      </c>
      <c r="G55" s="2">
        <v>0</v>
      </c>
      <c r="H55" s="2" t="s">
        <v>200</v>
      </c>
      <c r="I55" s="2" t="s">
        <v>184</v>
      </c>
      <c r="J55" s="3">
        <f t="shared" si="0"/>
        <v>5.3833379463050099E-2</v>
      </c>
    </row>
    <row r="56" spans="1:10" x14ac:dyDescent="0.35">
      <c r="A56" s="2" t="s">
        <v>72</v>
      </c>
      <c r="B56" s="2">
        <v>7226</v>
      </c>
      <c r="C56" s="2">
        <v>6868</v>
      </c>
      <c r="D56" s="2">
        <v>14</v>
      </c>
      <c r="E56" s="2">
        <v>43</v>
      </c>
      <c r="F56" s="2">
        <v>301</v>
      </c>
      <c r="G56" s="2">
        <v>0</v>
      </c>
      <c r="H56" s="2" t="s">
        <v>238</v>
      </c>
      <c r="I56" s="2" t="s">
        <v>196</v>
      </c>
      <c r="J56" s="3">
        <f t="shared" si="0"/>
        <v>4.9543315804040963E-2</v>
      </c>
    </row>
    <row r="57" spans="1:10" x14ac:dyDescent="0.35">
      <c r="A57" s="2" t="s">
        <v>73</v>
      </c>
      <c r="B57" s="2">
        <v>7226</v>
      </c>
      <c r="C57" s="2">
        <v>6835</v>
      </c>
      <c r="D57" s="2">
        <v>7</v>
      </c>
      <c r="E57" s="2">
        <v>43</v>
      </c>
      <c r="F57" s="2">
        <v>341</v>
      </c>
      <c r="G57" s="2">
        <v>0</v>
      </c>
      <c r="H57" s="2" t="s">
        <v>185</v>
      </c>
      <c r="I57" s="2" t="s">
        <v>196</v>
      </c>
      <c r="J57" s="3">
        <f t="shared" si="0"/>
        <v>5.4110157763631331E-2</v>
      </c>
    </row>
    <row r="58" spans="1:10" x14ac:dyDescent="0.35">
      <c r="A58" s="2" t="s">
        <v>74</v>
      </c>
      <c r="B58" s="2">
        <v>7226</v>
      </c>
      <c r="C58" s="2">
        <v>6875</v>
      </c>
      <c r="D58" s="2">
        <v>18</v>
      </c>
      <c r="E58" s="2">
        <v>42</v>
      </c>
      <c r="F58" s="2">
        <v>291</v>
      </c>
      <c r="G58" s="2">
        <v>0</v>
      </c>
      <c r="H58" s="2" t="s">
        <v>239</v>
      </c>
      <c r="I58" s="2" t="s">
        <v>186</v>
      </c>
      <c r="J58" s="3">
        <f t="shared" si="0"/>
        <v>4.8574591752006645E-2</v>
      </c>
    </row>
    <row r="59" spans="1:10" x14ac:dyDescent="0.35">
      <c r="A59" s="2" t="s">
        <v>75</v>
      </c>
      <c r="B59" s="2">
        <v>7226</v>
      </c>
      <c r="C59" s="2">
        <v>6846</v>
      </c>
      <c r="D59" s="2">
        <v>18</v>
      </c>
      <c r="E59" s="2">
        <v>37</v>
      </c>
      <c r="F59" s="2">
        <v>325</v>
      </c>
      <c r="G59" s="2">
        <v>0</v>
      </c>
      <c r="H59" s="2" t="s">
        <v>240</v>
      </c>
      <c r="I59" s="2" t="s">
        <v>226</v>
      </c>
      <c r="J59" s="3">
        <f t="shared" si="0"/>
        <v>5.2587877110434542E-2</v>
      </c>
    </row>
    <row r="60" spans="1:10" x14ac:dyDescent="0.35">
      <c r="A60" s="2" t="s">
        <v>76</v>
      </c>
      <c r="B60" s="2">
        <v>7226</v>
      </c>
      <c r="C60" s="2">
        <v>6787</v>
      </c>
      <c r="D60" s="2">
        <v>20</v>
      </c>
      <c r="E60" s="2">
        <v>40</v>
      </c>
      <c r="F60" s="2">
        <v>379</v>
      </c>
      <c r="G60" s="2">
        <v>0</v>
      </c>
      <c r="H60" s="2" t="s">
        <v>84</v>
      </c>
      <c r="I60" s="2" t="s">
        <v>201</v>
      </c>
      <c r="J60" s="3">
        <f t="shared" si="0"/>
        <v>6.0752836977580958E-2</v>
      </c>
    </row>
    <row r="61" spans="1:10" x14ac:dyDescent="0.35">
      <c r="A61" s="2" t="s">
        <v>77</v>
      </c>
      <c r="B61" s="2">
        <v>7226</v>
      </c>
      <c r="C61" s="2">
        <v>6854</v>
      </c>
      <c r="D61" s="2">
        <v>13</v>
      </c>
      <c r="E61" s="2">
        <v>45</v>
      </c>
      <c r="F61" s="2">
        <v>314</v>
      </c>
      <c r="G61" s="2">
        <v>0</v>
      </c>
      <c r="H61" s="2" t="s">
        <v>241</v>
      </c>
      <c r="I61" s="2" t="s">
        <v>206</v>
      </c>
      <c r="J61" s="3">
        <f t="shared" si="0"/>
        <v>5.1480763908109607E-2</v>
      </c>
    </row>
    <row r="62" spans="1:10" x14ac:dyDescent="0.35">
      <c r="A62" s="2" t="s">
        <v>78</v>
      </c>
      <c r="B62" s="2">
        <v>7226</v>
      </c>
      <c r="C62" s="2">
        <v>6799</v>
      </c>
      <c r="D62" s="2">
        <v>11</v>
      </c>
      <c r="E62" s="2">
        <v>40</v>
      </c>
      <c r="F62" s="2">
        <v>376</v>
      </c>
      <c r="G62" s="2">
        <v>0</v>
      </c>
      <c r="H62" s="2" t="s">
        <v>242</v>
      </c>
      <c r="I62" s="2" t="s">
        <v>201</v>
      </c>
      <c r="J62" s="3">
        <f t="shared" si="0"/>
        <v>5.9092167174093553E-2</v>
      </c>
    </row>
    <row r="63" spans="1:10" x14ac:dyDescent="0.35">
      <c r="A63" s="2" t="s">
        <v>79</v>
      </c>
      <c r="B63" s="2">
        <v>7226</v>
      </c>
      <c r="C63" s="2">
        <v>6822</v>
      </c>
      <c r="D63" s="2">
        <v>8</v>
      </c>
      <c r="E63" s="2">
        <v>39</v>
      </c>
      <c r="F63" s="2">
        <v>357</v>
      </c>
      <c r="G63" s="2">
        <v>0</v>
      </c>
      <c r="H63" s="2" t="s">
        <v>81</v>
      </c>
      <c r="I63" s="2" t="s">
        <v>184</v>
      </c>
      <c r="J63" s="3">
        <f t="shared" si="0"/>
        <v>5.5909216717409352E-2</v>
      </c>
    </row>
    <row r="64" spans="1:10" x14ac:dyDescent="0.35">
      <c r="A64" s="2" t="s">
        <v>80</v>
      </c>
      <c r="B64" s="2">
        <v>7226</v>
      </c>
      <c r="C64" s="2">
        <v>6860</v>
      </c>
      <c r="D64" s="2">
        <v>15</v>
      </c>
      <c r="E64" s="2">
        <v>40</v>
      </c>
      <c r="F64" s="2">
        <v>311</v>
      </c>
      <c r="G64" s="2">
        <v>0</v>
      </c>
      <c r="H64" s="2" t="s">
        <v>150</v>
      </c>
      <c r="I64" s="2" t="s">
        <v>201</v>
      </c>
      <c r="J64" s="3">
        <f t="shared" si="0"/>
        <v>5.0650429006365898E-2</v>
      </c>
    </row>
    <row r="65" spans="1:10" x14ac:dyDescent="0.35">
      <c r="A65" s="2" t="s">
        <v>82</v>
      </c>
      <c r="B65" s="2">
        <v>7226</v>
      </c>
      <c r="C65" s="2">
        <v>6829</v>
      </c>
      <c r="D65" s="2">
        <v>15</v>
      </c>
      <c r="E65" s="2">
        <v>41</v>
      </c>
      <c r="F65" s="2">
        <v>341</v>
      </c>
      <c r="G65" s="2">
        <v>0</v>
      </c>
      <c r="H65" s="2" t="s">
        <v>243</v>
      </c>
      <c r="I65" s="2" t="s">
        <v>190</v>
      </c>
      <c r="J65" s="3">
        <f t="shared" si="0"/>
        <v>5.4940492665375033E-2</v>
      </c>
    </row>
    <row r="66" spans="1:10" x14ac:dyDescent="0.35">
      <c r="A66" s="2" t="s">
        <v>83</v>
      </c>
      <c r="B66" s="2">
        <v>7226</v>
      </c>
      <c r="C66" s="2">
        <v>6785</v>
      </c>
      <c r="D66" s="2">
        <v>18</v>
      </c>
      <c r="E66" s="2">
        <v>44</v>
      </c>
      <c r="F66" s="2">
        <v>379</v>
      </c>
      <c r="G66" s="2">
        <v>0</v>
      </c>
      <c r="H66" s="2" t="s">
        <v>244</v>
      </c>
      <c r="I66" s="2" t="s">
        <v>192</v>
      </c>
      <c r="J66" s="3">
        <f t="shared" si="0"/>
        <v>6.102961527816219E-2</v>
      </c>
    </row>
    <row r="67" spans="1:10" x14ac:dyDescent="0.35">
      <c r="A67" s="2" t="s">
        <v>85</v>
      </c>
      <c r="B67" s="2">
        <v>7226</v>
      </c>
      <c r="C67" s="2">
        <v>6845</v>
      </c>
      <c r="D67" s="2">
        <v>13</v>
      </c>
      <c r="E67" s="2">
        <v>37</v>
      </c>
      <c r="F67" s="2">
        <v>331</v>
      </c>
      <c r="G67" s="2">
        <v>0</v>
      </c>
      <c r="H67" s="2" t="s">
        <v>183</v>
      </c>
      <c r="I67" s="2" t="s">
        <v>226</v>
      </c>
      <c r="J67" s="3">
        <f t="shared" ref="J67:J91" si="1">(D67+E67+F67)/B67</f>
        <v>5.2726266260725158E-2</v>
      </c>
    </row>
    <row r="68" spans="1:10" x14ac:dyDescent="0.35">
      <c r="A68" s="2" t="s">
        <v>86</v>
      </c>
      <c r="B68" s="2">
        <v>7226</v>
      </c>
      <c r="C68" s="2">
        <v>6820</v>
      </c>
      <c r="D68" s="2">
        <v>16</v>
      </c>
      <c r="E68" s="2">
        <v>42</v>
      </c>
      <c r="F68" s="2">
        <v>348</v>
      </c>
      <c r="G68" s="2">
        <v>0</v>
      </c>
      <c r="H68" s="2" t="s">
        <v>230</v>
      </c>
      <c r="I68" s="2" t="s">
        <v>186</v>
      </c>
      <c r="J68" s="3">
        <f t="shared" si="1"/>
        <v>5.6185995017990591E-2</v>
      </c>
    </row>
    <row r="69" spans="1:10" x14ac:dyDescent="0.35">
      <c r="A69" s="2" t="s">
        <v>87</v>
      </c>
      <c r="B69" s="2">
        <v>7226</v>
      </c>
      <c r="C69" s="2">
        <v>6806</v>
      </c>
      <c r="D69" s="2">
        <v>16</v>
      </c>
      <c r="E69" s="2">
        <v>52</v>
      </c>
      <c r="F69" s="2">
        <v>352</v>
      </c>
      <c r="G69" s="2">
        <v>0</v>
      </c>
      <c r="H69" s="2" t="s">
        <v>245</v>
      </c>
      <c r="I69" s="2" t="s">
        <v>182</v>
      </c>
      <c r="J69" s="3">
        <f t="shared" si="1"/>
        <v>5.8123443122059228E-2</v>
      </c>
    </row>
    <row r="70" spans="1:10" x14ac:dyDescent="0.35">
      <c r="A70" s="2" t="s">
        <v>88</v>
      </c>
      <c r="B70" s="2">
        <v>7226</v>
      </c>
      <c r="C70" s="2">
        <v>6848</v>
      </c>
      <c r="D70" s="2">
        <v>15</v>
      </c>
      <c r="E70" s="2">
        <v>39</v>
      </c>
      <c r="F70" s="2">
        <v>324</v>
      </c>
      <c r="G70" s="2">
        <v>0</v>
      </c>
      <c r="H70" s="2" t="s">
        <v>246</v>
      </c>
      <c r="I70" s="2" t="s">
        <v>184</v>
      </c>
      <c r="J70" s="3">
        <f t="shared" si="1"/>
        <v>5.231109880985331E-2</v>
      </c>
    </row>
    <row r="71" spans="1:10" x14ac:dyDescent="0.35">
      <c r="A71" s="2" t="s">
        <v>89</v>
      </c>
      <c r="B71" s="2">
        <v>7226</v>
      </c>
      <c r="C71" s="2">
        <v>6793</v>
      </c>
      <c r="D71" s="2">
        <v>12</v>
      </c>
      <c r="E71" s="2">
        <v>40</v>
      </c>
      <c r="F71" s="2">
        <v>381</v>
      </c>
      <c r="G71" s="2">
        <v>0</v>
      </c>
      <c r="H71" s="2" t="s">
        <v>195</v>
      </c>
      <c r="I71" s="2" t="s">
        <v>201</v>
      </c>
      <c r="J71" s="3">
        <f t="shared" si="1"/>
        <v>5.9922502075837256E-2</v>
      </c>
    </row>
    <row r="72" spans="1:10" x14ac:dyDescent="0.35">
      <c r="A72" s="2" t="s">
        <v>90</v>
      </c>
      <c r="B72" s="2">
        <v>7226</v>
      </c>
      <c r="C72" s="2">
        <v>6814</v>
      </c>
      <c r="D72" s="2">
        <v>18</v>
      </c>
      <c r="E72" s="2">
        <v>42</v>
      </c>
      <c r="F72" s="2">
        <v>352</v>
      </c>
      <c r="G72" s="2">
        <v>0</v>
      </c>
      <c r="H72" s="2" t="s">
        <v>247</v>
      </c>
      <c r="I72" s="2" t="s">
        <v>186</v>
      </c>
      <c r="J72" s="3">
        <f t="shared" si="1"/>
        <v>5.7016329919734293E-2</v>
      </c>
    </row>
    <row r="73" spans="1:10" x14ac:dyDescent="0.35">
      <c r="A73" s="2" t="s">
        <v>92</v>
      </c>
      <c r="B73" s="2">
        <v>7226</v>
      </c>
      <c r="C73" s="2">
        <v>6854</v>
      </c>
      <c r="D73" s="2">
        <v>12</v>
      </c>
      <c r="E73" s="2">
        <v>41</v>
      </c>
      <c r="F73" s="2">
        <v>319</v>
      </c>
      <c r="G73" s="2">
        <v>0</v>
      </c>
      <c r="H73" s="2" t="s">
        <v>241</v>
      </c>
      <c r="I73" s="2" t="s">
        <v>190</v>
      </c>
      <c r="J73" s="3">
        <f t="shared" si="1"/>
        <v>5.1480763908109607E-2</v>
      </c>
    </row>
    <row r="74" spans="1:10" x14ac:dyDescent="0.35">
      <c r="A74" s="2" t="s">
        <v>93</v>
      </c>
      <c r="B74" s="2">
        <v>7226</v>
      </c>
      <c r="C74" s="2">
        <v>6884</v>
      </c>
      <c r="D74" s="2">
        <v>12</v>
      </c>
      <c r="E74" s="2">
        <v>44</v>
      </c>
      <c r="F74" s="2">
        <v>286</v>
      </c>
      <c r="G74" s="2">
        <v>0</v>
      </c>
      <c r="H74" s="2" t="s">
        <v>15</v>
      </c>
      <c r="I74" s="2" t="s">
        <v>192</v>
      </c>
      <c r="J74" s="3">
        <f t="shared" si="1"/>
        <v>4.7329089399391087E-2</v>
      </c>
    </row>
    <row r="75" spans="1:10" x14ac:dyDescent="0.35">
      <c r="A75" s="2" t="s">
        <v>94</v>
      </c>
      <c r="B75" s="2">
        <v>7226</v>
      </c>
      <c r="C75" s="2">
        <v>6855</v>
      </c>
      <c r="D75" s="2">
        <v>17</v>
      </c>
      <c r="E75" s="2">
        <v>45</v>
      </c>
      <c r="F75" s="2">
        <v>309</v>
      </c>
      <c r="G75" s="2">
        <v>0</v>
      </c>
      <c r="H75" s="2" t="s">
        <v>248</v>
      </c>
      <c r="I75" s="2" t="s">
        <v>206</v>
      </c>
      <c r="J75" s="3">
        <f t="shared" si="1"/>
        <v>5.1342374757818984E-2</v>
      </c>
    </row>
    <row r="76" spans="1:10" x14ac:dyDescent="0.35">
      <c r="A76" s="2" t="s">
        <v>95</v>
      </c>
      <c r="B76" s="2">
        <v>7226</v>
      </c>
      <c r="C76" s="2">
        <v>6854</v>
      </c>
      <c r="D76" s="2">
        <v>9</v>
      </c>
      <c r="E76" s="2">
        <v>47</v>
      </c>
      <c r="F76" s="2">
        <v>316</v>
      </c>
      <c r="G76" s="2">
        <v>0</v>
      </c>
      <c r="H76" s="2" t="s">
        <v>241</v>
      </c>
      <c r="I76" s="2" t="s">
        <v>249</v>
      </c>
      <c r="J76" s="3">
        <f t="shared" si="1"/>
        <v>5.1480763908109607E-2</v>
      </c>
    </row>
    <row r="77" spans="1:10" x14ac:dyDescent="0.35">
      <c r="A77" s="2" t="s">
        <v>96</v>
      </c>
      <c r="B77" s="2">
        <v>7226</v>
      </c>
      <c r="C77" s="2">
        <v>6757</v>
      </c>
      <c r="D77" s="2">
        <v>20</v>
      </c>
      <c r="E77" s="2">
        <v>40</v>
      </c>
      <c r="F77" s="2">
        <v>409</v>
      </c>
      <c r="G77" s="2">
        <v>0</v>
      </c>
      <c r="H77" s="2" t="s">
        <v>250</v>
      </c>
      <c r="I77" s="2" t="s">
        <v>201</v>
      </c>
      <c r="J77" s="3">
        <f t="shared" si="1"/>
        <v>6.4904511486299471E-2</v>
      </c>
    </row>
    <row r="78" spans="1:10" x14ac:dyDescent="0.35">
      <c r="A78" s="2" t="s">
        <v>97</v>
      </c>
      <c r="B78" s="2">
        <v>7226</v>
      </c>
      <c r="C78" s="2">
        <v>6814</v>
      </c>
      <c r="D78" s="2">
        <v>23</v>
      </c>
      <c r="E78" s="2">
        <v>45</v>
      </c>
      <c r="F78" s="2">
        <v>344</v>
      </c>
      <c r="G78" s="2">
        <v>0</v>
      </c>
      <c r="H78" s="2" t="s">
        <v>247</v>
      </c>
      <c r="I78" s="2" t="s">
        <v>206</v>
      </c>
      <c r="J78" s="3">
        <f t="shared" si="1"/>
        <v>5.7016329919734293E-2</v>
      </c>
    </row>
    <row r="79" spans="1:10" x14ac:dyDescent="0.35">
      <c r="A79" s="2" t="s">
        <v>98</v>
      </c>
      <c r="B79" s="2">
        <v>7226</v>
      </c>
      <c r="C79" s="2">
        <v>6825</v>
      </c>
      <c r="D79" s="2">
        <v>16</v>
      </c>
      <c r="E79" s="2">
        <v>38</v>
      </c>
      <c r="F79" s="2">
        <v>347</v>
      </c>
      <c r="G79" s="2">
        <v>0</v>
      </c>
      <c r="H79" s="2" t="s">
        <v>202</v>
      </c>
      <c r="I79" s="2" t="s">
        <v>188</v>
      </c>
      <c r="J79" s="3">
        <f t="shared" si="1"/>
        <v>5.5494049266537504E-2</v>
      </c>
    </row>
    <row r="80" spans="1:10" x14ac:dyDescent="0.35">
      <c r="A80" s="2" t="s">
        <v>99</v>
      </c>
      <c r="B80" s="2">
        <v>7226</v>
      </c>
      <c r="C80" s="2">
        <v>6795</v>
      </c>
      <c r="D80" s="2">
        <v>11</v>
      </c>
      <c r="E80" s="2">
        <v>43</v>
      </c>
      <c r="F80" s="2">
        <v>377</v>
      </c>
      <c r="G80" s="2">
        <v>0</v>
      </c>
      <c r="H80" s="2" t="s">
        <v>127</v>
      </c>
      <c r="I80" s="2" t="s">
        <v>196</v>
      </c>
      <c r="J80" s="3">
        <f t="shared" si="1"/>
        <v>5.9645723775256017E-2</v>
      </c>
    </row>
    <row r="81" spans="1:10" x14ac:dyDescent="0.35">
      <c r="A81" s="2" t="s">
        <v>100</v>
      </c>
      <c r="B81" s="2">
        <v>7226</v>
      </c>
      <c r="C81" s="2">
        <v>6742</v>
      </c>
      <c r="D81" s="2">
        <v>21</v>
      </c>
      <c r="E81" s="2">
        <v>40</v>
      </c>
      <c r="F81" s="2">
        <v>423</v>
      </c>
      <c r="G81" s="2">
        <v>0</v>
      </c>
      <c r="H81" s="2" t="s">
        <v>225</v>
      </c>
      <c r="I81" s="2" t="s">
        <v>201</v>
      </c>
      <c r="J81" s="3">
        <f t="shared" si="1"/>
        <v>6.6980348740658738E-2</v>
      </c>
    </row>
    <row r="82" spans="1:10" x14ac:dyDescent="0.35">
      <c r="A82" s="2" t="s">
        <v>101</v>
      </c>
      <c r="B82" s="2">
        <v>7226</v>
      </c>
      <c r="C82" s="2">
        <v>6860</v>
      </c>
      <c r="D82" s="2">
        <v>11</v>
      </c>
      <c r="E82" s="2">
        <v>41</v>
      </c>
      <c r="F82" s="2">
        <v>314</v>
      </c>
      <c r="G82" s="2">
        <v>0</v>
      </c>
      <c r="H82" s="2" t="s">
        <v>150</v>
      </c>
      <c r="I82" s="2" t="s">
        <v>190</v>
      </c>
      <c r="J82" s="3">
        <f t="shared" si="1"/>
        <v>5.0650429006365898E-2</v>
      </c>
    </row>
    <row r="83" spans="1:10" x14ac:dyDescent="0.35">
      <c r="A83" s="2" t="s">
        <v>102</v>
      </c>
      <c r="B83" s="2">
        <v>7226</v>
      </c>
      <c r="C83" s="2">
        <v>6865</v>
      </c>
      <c r="D83" s="2">
        <v>13</v>
      </c>
      <c r="E83" s="2">
        <v>46</v>
      </c>
      <c r="F83" s="2">
        <v>302</v>
      </c>
      <c r="G83" s="2">
        <v>0</v>
      </c>
      <c r="H83" s="2" t="s">
        <v>235</v>
      </c>
      <c r="I83" s="2" t="s">
        <v>214</v>
      </c>
      <c r="J83" s="3">
        <f t="shared" si="1"/>
        <v>4.9958483254912818E-2</v>
      </c>
    </row>
    <row r="84" spans="1:10" x14ac:dyDescent="0.35">
      <c r="A84" s="2" t="s">
        <v>103</v>
      </c>
      <c r="B84" s="2">
        <v>7226</v>
      </c>
      <c r="C84" s="2">
        <v>6825</v>
      </c>
      <c r="D84" s="2">
        <v>23</v>
      </c>
      <c r="E84" s="2">
        <v>44</v>
      </c>
      <c r="F84" s="2">
        <v>334</v>
      </c>
      <c r="G84" s="2">
        <v>0</v>
      </c>
      <c r="H84" s="2" t="s">
        <v>202</v>
      </c>
      <c r="I84" s="2" t="s">
        <v>192</v>
      </c>
      <c r="J84" s="3">
        <f t="shared" si="1"/>
        <v>5.5494049266537504E-2</v>
      </c>
    </row>
    <row r="85" spans="1:10" x14ac:dyDescent="0.35">
      <c r="A85" s="2" t="s">
        <v>104</v>
      </c>
      <c r="B85" s="2">
        <v>7226</v>
      </c>
      <c r="C85" s="2">
        <v>6900</v>
      </c>
      <c r="D85" s="2">
        <v>11</v>
      </c>
      <c r="E85" s="2">
        <v>45</v>
      </c>
      <c r="F85" s="2">
        <v>270</v>
      </c>
      <c r="G85" s="2">
        <v>0</v>
      </c>
      <c r="H85" s="2" t="s">
        <v>251</v>
      </c>
      <c r="I85" s="2" t="s">
        <v>206</v>
      </c>
      <c r="J85" s="3">
        <f t="shared" si="1"/>
        <v>4.5114862994741212E-2</v>
      </c>
    </row>
    <row r="86" spans="1:10" x14ac:dyDescent="0.35">
      <c r="A86" s="2" t="s">
        <v>105</v>
      </c>
      <c r="B86" s="2">
        <v>7226</v>
      </c>
      <c r="C86" s="2">
        <v>6873</v>
      </c>
      <c r="D86" s="2">
        <v>16</v>
      </c>
      <c r="E86" s="2">
        <v>45</v>
      </c>
      <c r="F86" s="2">
        <v>292</v>
      </c>
      <c r="G86" s="2">
        <v>0</v>
      </c>
      <c r="H86" s="2" t="s">
        <v>216</v>
      </c>
      <c r="I86" s="2" t="s">
        <v>206</v>
      </c>
      <c r="J86" s="3">
        <f t="shared" si="1"/>
        <v>4.8851370052587877E-2</v>
      </c>
    </row>
    <row r="87" spans="1:10" x14ac:dyDescent="0.35">
      <c r="A87" s="2" t="s">
        <v>106</v>
      </c>
      <c r="B87" s="2">
        <v>7226</v>
      </c>
      <c r="C87" s="2">
        <v>6826</v>
      </c>
      <c r="D87" s="2">
        <v>12</v>
      </c>
      <c r="E87" s="2">
        <v>38</v>
      </c>
      <c r="F87" s="2">
        <v>350</v>
      </c>
      <c r="G87" s="2">
        <v>0</v>
      </c>
      <c r="H87" s="2" t="s">
        <v>252</v>
      </c>
      <c r="I87" s="2" t="s">
        <v>188</v>
      </c>
      <c r="J87" s="3">
        <f t="shared" si="1"/>
        <v>5.5355660116246888E-2</v>
      </c>
    </row>
    <row r="88" spans="1:10" x14ac:dyDescent="0.35">
      <c r="A88" s="2" t="s">
        <v>107</v>
      </c>
      <c r="B88" s="2">
        <v>7226</v>
      </c>
      <c r="C88" s="2">
        <v>6780</v>
      </c>
      <c r="D88" s="2">
        <v>18</v>
      </c>
      <c r="E88" s="2">
        <v>46</v>
      </c>
      <c r="F88" s="2">
        <v>382</v>
      </c>
      <c r="G88" s="2">
        <v>0</v>
      </c>
      <c r="H88" s="2" t="s">
        <v>57</v>
      </c>
      <c r="I88" s="2" t="s">
        <v>214</v>
      </c>
      <c r="J88" s="3">
        <f t="shared" si="1"/>
        <v>6.1721561029615277E-2</v>
      </c>
    </row>
    <row r="89" spans="1:10" x14ac:dyDescent="0.35">
      <c r="A89" s="2" t="s">
        <v>108</v>
      </c>
      <c r="B89" s="2">
        <v>7226</v>
      </c>
      <c r="C89" s="2">
        <v>6792</v>
      </c>
      <c r="D89" s="2">
        <v>11</v>
      </c>
      <c r="E89" s="2">
        <v>47</v>
      </c>
      <c r="F89" s="2">
        <v>376</v>
      </c>
      <c r="G89" s="2">
        <v>0</v>
      </c>
      <c r="H89" s="2" t="s">
        <v>199</v>
      </c>
      <c r="I89" s="2" t="s">
        <v>249</v>
      </c>
      <c r="J89" s="3">
        <f t="shared" si="1"/>
        <v>6.0060891226127872E-2</v>
      </c>
    </row>
    <row r="90" spans="1:10" x14ac:dyDescent="0.35">
      <c r="A90" s="2" t="s">
        <v>109</v>
      </c>
      <c r="B90" s="2">
        <v>7226</v>
      </c>
      <c r="C90" s="2">
        <v>6767</v>
      </c>
      <c r="D90" s="2">
        <v>15</v>
      </c>
      <c r="E90" s="2">
        <v>44</v>
      </c>
      <c r="F90" s="2">
        <v>400</v>
      </c>
      <c r="G90" s="2">
        <v>0</v>
      </c>
      <c r="H90" s="2" t="s">
        <v>253</v>
      </c>
      <c r="I90" s="2" t="s">
        <v>192</v>
      </c>
      <c r="J90" s="3">
        <f t="shared" si="1"/>
        <v>6.3520619983393298E-2</v>
      </c>
    </row>
    <row r="91" spans="1:10" x14ac:dyDescent="0.35">
      <c r="A91" s="2" t="s">
        <v>110</v>
      </c>
      <c r="B91" s="2">
        <v>7226</v>
      </c>
      <c r="C91" s="2">
        <v>6851</v>
      </c>
      <c r="D91" s="2">
        <v>9</v>
      </c>
      <c r="E91" s="2">
        <v>40</v>
      </c>
      <c r="F91" s="2">
        <v>326</v>
      </c>
      <c r="G91" s="2">
        <v>0</v>
      </c>
      <c r="H91" s="2" t="s">
        <v>217</v>
      </c>
      <c r="I91" s="2" t="s">
        <v>201</v>
      </c>
      <c r="J91" s="3">
        <f t="shared" si="1"/>
        <v>5.1895931358981455E-2</v>
      </c>
    </row>
    <row r="92" spans="1:10" x14ac:dyDescent="0.35">
      <c r="A92" s="2" t="s">
        <v>652</v>
      </c>
      <c r="J92">
        <f>AVERAGE(J2:J91)</f>
        <v>5.4196266568256581E-2</v>
      </c>
    </row>
    <row r="93" spans="1:10" x14ac:dyDescent="0.35">
      <c r="A93" s="2" t="s">
        <v>653</v>
      </c>
      <c r="J93" s="5">
        <f>MEDIAN(J2:J91)</f>
        <v>5.265707168557985E-2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3"/>
  <sheetViews>
    <sheetView workbookViewId="0">
      <pane xSplit="1" ySplit="1" topLeftCell="E70" activePane="bottomRight" state="frozen"/>
      <selection pane="topRight"/>
      <selection pane="bottomLeft"/>
      <selection pane="bottomRight" activeCell="J2" sqref="J2:J91"/>
    </sheetView>
  </sheetViews>
  <sheetFormatPr defaultRowHeight="14.5" x14ac:dyDescent="0.35"/>
  <cols>
    <col min="1" max="1" width="32" customWidth="1"/>
    <col min="2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>
        <v>7014</v>
      </c>
      <c r="C2" s="2">
        <v>6769</v>
      </c>
      <c r="D2" s="2">
        <v>6</v>
      </c>
      <c r="E2" s="2">
        <v>33</v>
      </c>
      <c r="F2" s="2">
        <v>206</v>
      </c>
      <c r="G2" s="2">
        <v>0</v>
      </c>
      <c r="H2" s="2" t="s">
        <v>254</v>
      </c>
      <c r="I2" s="2" t="s">
        <v>255</v>
      </c>
      <c r="J2" s="3">
        <f>(D2+E2+F2)/B2</f>
        <v>3.4930139720558882E-2</v>
      </c>
    </row>
    <row r="3" spans="1:10" x14ac:dyDescent="0.35">
      <c r="A3" s="2" t="s">
        <v>12</v>
      </c>
      <c r="B3" s="2">
        <v>7014</v>
      </c>
      <c r="C3" s="2">
        <v>5990</v>
      </c>
      <c r="D3" s="2">
        <v>7</v>
      </c>
      <c r="E3" s="2">
        <v>23</v>
      </c>
      <c r="F3" s="2">
        <v>994</v>
      </c>
      <c r="G3" s="2">
        <v>0</v>
      </c>
      <c r="H3" s="2" t="s">
        <v>256</v>
      </c>
      <c r="I3" s="2" t="s">
        <v>257</v>
      </c>
      <c r="J3" s="3">
        <f t="shared" ref="J3:J66" si="0">(D3+E3+F3)/B3</f>
        <v>0.1459937268320502</v>
      </c>
    </row>
    <row r="4" spans="1:10" x14ac:dyDescent="0.35">
      <c r="A4" s="2" t="s">
        <v>13</v>
      </c>
      <c r="B4" s="2">
        <v>7014</v>
      </c>
      <c r="C4" s="2">
        <v>5857</v>
      </c>
      <c r="D4" s="2">
        <v>8</v>
      </c>
      <c r="E4" s="2">
        <v>24</v>
      </c>
      <c r="F4" s="2">
        <v>1125</v>
      </c>
      <c r="G4" s="2">
        <v>0</v>
      </c>
      <c r="H4" s="2" t="s">
        <v>148</v>
      </c>
      <c r="I4" s="2" t="s">
        <v>258</v>
      </c>
      <c r="J4" s="3">
        <f t="shared" si="0"/>
        <v>0.16495580268035359</v>
      </c>
    </row>
    <row r="5" spans="1:10" x14ac:dyDescent="0.35">
      <c r="A5" s="2" t="s">
        <v>14</v>
      </c>
      <c r="B5" s="2">
        <v>7014</v>
      </c>
      <c r="C5" s="2">
        <v>6430</v>
      </c>
      <c r="D5" s="2">
        <v>15</v>
      </c>
      <c r="E5" s="2">
        <v>22</v>
      </c>
      <c r="F5" s="2">
        <v>547</v>
      </c>
      <c r="G5" s="2">
        <v>0</v>
      </c>
      <c r="H5" s="2" t="s">
        <v>259</v>
      </c>
      <c r="I5" s="2" t="s">
        <v>260</v>
      </c>
      <c r="J5" s="3">
        <f t="shared" si="0"/>
        <v>8.3262047333903619E-2</v>
      </c>
    </row>
    <row r="6" spans="1:10" x14ac:dyDescent="0.35">
      <c r="A6" s="2" t="s">
        <v>16</v>
      </c>
      <c r="B6" s="2">
        <v>7014</v>
      </c>
      <c r="C6" s="2">
        <v>5976</v>
      </c>
      <c r="D6" s="2">
        <v>11</v>
      </c>
      <c r="E6" s="2">
        <v>24</v>
      </c>
      <c r="F6" s="2">
        <v>1003</v>
      </c>
      <c r="G6" s="2">
        <v>0</v>
      </c>
      <c r="H6" s="2" t="s">
        <v>261</v>
      </c>
      <c r="I6" s="2" t="s">
        <v>258</v>
      </c>
      <c r="J6" s="3">
        <f t="shared" si="0"/>
        <v>0.14798973481608213</v>
      </c>
    </row>
    <row r="7" spans="1:10" x14ac:dyDescent="0.35">
      <c r="A7" s="2" t="s">
        <v>18</v>
      </c>
      <c r="B7" s="2">
        <v>7014</v>
      </c>
      <c r="C7" s="2">
        <v>6003</v>
      </c>
      <c r="D7" s="2">
        <v>15</v>
      </c>
      <c r="E7" s="2">
        <v>19</v>
      </c>
      <c r="F7" s="2">
        <v>977</v>
      </c>
      <c r="G7" s="2">
        <v>0</v>
      </c>
      <c r="H7" s="2" t="s">
        <v>262</v>
      </c>
      <c r="I7" s="2" t="s">
        <v>263</v>
      </c>
      <c r="J7" s="3">
        <f t="shared" si="0"/>
        <v>0.14414029084687768</v>
      </c>
    </row>
    <row r="8" spans="1:10" x14ac:dyDescent="0.35">
      <c r="A8" s="2" t="s">
        <v>19</v>
      </c>
      <c r="B8" s="2">
        <v>7014</v>
      </c>
      <c r="C8" s="2">
        <v>6104</v>
      </c>
      <c r="D8" s="2">
        <v>14</v>
      </c>
      <c r="E8" s="2">
        <v>26</v>
      </c>
      <c r="F8" s="2">
        <v>870</v>
      </c>
      <c r="G8" s="2">
        <v>0</v>
      </c>
      <c r="H8" s="2" t="s">
        <v>264</v>
      </c>
      <c r="I8" s="2" t="s">
        <v>265</v>
      </c>
      <c r="J8" s="3">
        <f t="shared" si="0"/>
        <v>0.12974051896207583</v>
      </c>
    </row>
    <row r="9" spans="1:10" x14ac:dyDescent="0.35">
      <c r="A9" s="2" t="s">
        <v>20</v>
      </c>
      <c r="B9" s="2">
        <v>7014</v>
      </c>
      <c r="C9" s="2">
        <v>5980</v>
      </c>
      <c r="D9" s="2">
        <v>15</v>
      </c>
      <c r="E9" s="2">
        <v>20</v>
      </c>
      <c r="F9" s="2">
        <v>999</v>
      </c>
      <c r="G9" s="2">
        <v>0</v>
      </c>
      <c r="H9" s="2" t="s">
        <v>266</v>
      </c>
      <c r="I9" s="2" t="s">
        <v>267</v>
      </c>
      <c r="J9" s="3">
        <f t="shared" si="0"/>
        <v>0.14741944682064442</v>
      </c>
    </row>
    <row r="10" spans="1:10" x14ac:dyDescent="0.35">
      <c r="A10" s="2" t="s">
        <v>21</v>
      </c>
      <c r="B10" s="2">
        <v>7014</v>
      </c>
      <c r="C10" s="2">
        <v>5843</v>
      </c>
      <c r="D10" s="2">
        <v>17</v>
      </c>
      <c r="E10" s="2">
        <v>25</v>
      </c>
      <c r="F10" s="2">
        <v>1129</v>
      </c>
      <c r="G10" s="2">
        <v>0</v>
      </c>
      <c r="H10" s="2" t="s">
        <v>268</v>
      </c>
      <c r="I10" s="2" t="s">
        <v>269</v>
      </c>
      <c r="J10" s="3">
        <f t="shared" si="0"/>
        <v>0.16695181066438552</v>
      </c>
    </row>
    <row r="11" spans="1:10" x14ac:dyDescent="0.35">
      <c r="A11" s="2" t="s">
        <v>22</v>
      </c>
      <c r="B11" s="2">
        <v>7014</v>
      </c>
      <c r="C11" s="2">
        <v>3994</v>
      </c>
      <c r="D11" s="2">
        <v>6</v>
      </c>
      <c r="E11" s="2">
        <v>14</v>
      </c>
      <c r="F11" s="2">
        <v>3000</v>
      </c>
      <c r="G11" s="2">
        <v>0</v>
      </c>
      <c r="H11" s="2" t="s">
        <v>270</v>
      </c>
      <c r="I11" s="2" t="s">
        <v>271</v>
      </c>
      <c r="J11" s="3">
        <f t="shared" si="0"/>
        <v>0.43056743655546048</v>
      </c>
    </row>
    <row r="12" spans="1:10" x14ac:dyDescent="0.35">
      <c r="A12" s="2" t="s">
        <v>23</v>
      </c>
      <c r="B12" s="2">
        <v>7014</v>
      </c>
      <c r="C12" s="2">
        <v>5601</v>
      </c>
      <c r="D12" s="2">
        <v>10</v>
      </c>
      <c r="E12" s="2">
        <v>18</v>
      </c>
      <c r="F12" s="2">
        <v>1385</v>
      </c>
      <c r="G12" s="2">
        <v>0</v>
      </c>
      <c r="H12" s="2" t="s">
        <v>272</v>
      </c>
      <c r="I12" s="2" t="s">
        <v>273</v>
      </c>
      <c r="J12" s="3">
        <f t="shared" si="0"/>
        <v>0.20145423438836613</v>
      </c>
    </row>
    <row r="13" spans="1:10" x14ac:dyDescent="0.35">
      <c r="A13" s="2" t="s">
        <v>24</v>
      </c>
      <c r="B13" s="2">
        <v>7014</v>
      </c>
      <c r="C13" s="2">
        <v>6449</v>
      </c>
      <c r="D13" s="2">
        <v>10</v>
      </c>
      <c r="E13" s="2">
        <v>24</v>
      </c>
      <c r="F13" s="2">
        <v>531</v>
      </c>
      <c r="G13" s="2">
        <v>0</v>
      </c>
      <c r="H13" s="2" t="s">
        <v>274</v>
      </c>
      <c r="I13" s="2" t="s">
        <v>258</v>
      </c>
      <c r="J13" s="3">
        <f t="shared" si="0"/>
        <v>8.0553179355574558E-2</v>
      </c>
    </row>
    <row r="14" spans="1:10" x14ac:dyDescent="0.35">
      <c r="A14" s="2" t="s">
        <v>26</v>
      </c>
      <c r="B14" s="2">
        <v>7014</v>
      </c>
      <c r="C14" s="2">
        <v>6363</v>
      </c>
      <c r="D14" s="2">
        <v>13</v>
      </c>
      <c r="E14" s="2">
        <v>23</v>
      </c>
      <c r="F14" s="2">
        <v>615</v>
      </c>
      <c r="G14" s="2">
        <v>0</v>
      </c>
      <c r="H14" s="2" t="s">
        <v>275</v>
      </c>
      <c r="I14" s="2" t="s">
        <v>257</v>
      </c>
      <c r="J14" s="3">
        <f t="shared" si="0"/>
        <v>9.2814371257485026E-2</v>
      </c>
    </row>
    <row r="15" spans="1:10" x14ac:dyDescent="0.35">
      <c r="A15" s="2" t="s">
        <v>28</v>
      </c>
      <c r="B15" s="2">
        <v>7014</v>
      </c>
      <c r="C15" s="2">
        <v>5969</v>
      </c>
      <c r="D15" s="2">
        <v>19</v>
      </c>
      <c r="E15" s="2">
        <v>25</v>
      </c>
      <c r="F15" s="2">
        <v>1001</v>
      </c>
      <c r="G15" s="2">
        <v>0</v>
      </c>
      <c r="H15" s="2" t="s">
        <v>276</v>
      </c>
      <c r="I15" s="2" t="s">
        <v>269</v>
      </c>
      <c r="J15" s="3">
        <f t="shared" si="0"/>
        <v>0.1489877388080981</v>
      </c>
    </row>
    <row r="16" spans="1:10" x14ac:dyDescent="0.35">
      <c r="A16" s="2" t="s">
        <v>29</v>
      </c>
      <c r="B16" s="2">
        <v>7014</v>
      </c>
      <c r="C16" s="2">
        <v>6179</v>
      </c>
      <c r="D16" s="2">
        <v>11</v>
      </c>
      <c r="E16" s="2">
        <v>23</v>
      </c>
      <c r="F16" s="2">
        <v>801</v>
      </c>
      <c r="G16" s="2">
        <v>0</v>
      </c>
      <c r="H16" s="2" t="s">
        <v>277</v>
      </c>
      <c r="I16" s="2" t="s">
        <v>257</v>
      </c>
      <c r="J16" s="3">
        <f t="shared" si="0"/>
        <v>0.11904761904761904</v>
      </c>
    </row>
    <row r="17" spans="1:10" x14ac:dyDescent="0.35">
      <c r="A17" s="2" t="s">
        <v>30</v>
      </c>
      <c r="B17" s="2">
        <v>7014</v>
      </c>
      <c r="C17" s="2">
        <v>6594</v>
      </c>
      <c r="D17" s="2">
        <v>14</v>
      </c>
      <c r="E17" s="2">
        <v>27</v>
      </c>
      <c r="F17" s="2">
        <v>379</v>
      </c>
      <c r="G17" s="2">
        <v>0</v>
      </c>
      <c r="H17" s="2" t="s">
        <v>195</v>
      </c>
      <c r="I17" s="2" t="s">
        <v>278</v>
      </c>
      <c r="J17" s="3">
        <f t="shared" si="0"/>
        <v>5.9880239520958084E-2</v>
      </c>
    </row>
    <row r="18" spans="1:10" x14ac:dyDescent="0.35">
      <c r="A18" s="2" t="s">
        <v>31</v>
      </c>
      <c r="B18" s="2">
        <v>7014</v>
      </c>
      <c r="C18" s="2">
        <v>6506</v>
      </c>
      <c r="D18" s="2">
        <v>16</v>
      </c>
      <c r="E18" s="2">
        <v>28</v>
      </c>
      <c r="F18" s="2">
        <v>464</v>
      </c>
      <c r="G18" s="2">
        <v>0</v>
      </c>
      <c r="H18" s="2" t="s">
        <v>279</v>
      </c>
      <c r="I18" s="2" t="s">
        <v>280</v>
      </c>
      <c r="J18" s="3">
        <f t="shared" si="0"/>
        <v>7.2426575420587391E-2</v>
      </c>
    </row>
    <row r="19" spans="1:10" x14ac:dyDescent="0.35">
      <c r="A19" s="2" t="s">
        <v>32</v>
      </c>
      <c r="B19" s="2">
        <v>7014</v>
      </c>
      <c r="C19" s="2">
        <v>6378</v>
      </c>
      <c r="D19" s="2">
        <v>7</v>
      </c>
      <c r="E19" s="2">
        <v>25</v>
      </c>
      <c r="F19" s="2">
        <v>604</v>
      </c>
      <c r="G19" s="2">
        <v>0</v>
      </c>
      <c r="H19" s="2" t="s">
        <v>281</v>
      </c>
      <c r="I19" s="2" t="s">
        <v>269</v>
      </c>
      <c r="J19" s="3">
        <f t="shared" si="0"/>
        <v>9.0675791274593673E-2</v>
      </c>
    </row>
    <row r="20" spans="1:10" x14ac:dyDescent="0.35">
      <c r="A20" s="2" t="s">
        <v>33</v>
      </c>
      <c r="B20" s="2">
        <v>7014</v>
      </c>
      <c r="C20" s="2">
        <v>6268</v>
      </c>
      <c r="D20" s="2">
        <v>14</v>
      </c>
      <c r="E20" s="2">
        <v>22</v>
      </c>
      <c r="F20" s="2">
        <v>710</v>
      </c>
      <c r="G20" s="2">
        <v>0</v>
      </c>
      <c r="H20" s="2" t="s">
        <v>282</v>
      </c>
      <c r="I20" s="2" t="s">
        <v>260</v>
      </c>
      <c r="J20" s="3">
        <f t="shared" si="0"/>
        <v>0.10635871114913031</v>
      </c>
    </row>
    <row r="21" spans="1:10" x14ac:dyDescent="0.35">
      <c r="A21" s="2" t="s">
        <v>34</v>
      </c>
      <c r="B21" s="2">
        <v>7014</v>
      </c>
      <c r="C21" s="2">
        <v>6279</v>
      </c>
      <c r="D21" s="2">
        <v>6</v>
      </c>
      <c r="E21" s="2">
        <v>24</v>
      </c>
      <c r="F21" s="2">
        <v>705</v>
      </c>
      <c r="G21" s="2">
        <v>0</v>
      </c>
      <c r="H21" s="2" t="s">
        <v>283</v>
      </c>
      <c r="I21" s="2" t="s">
        <v>258</v>
      </c>
      <c r="J21" s="3">
        <f t="shared" si="0"/>
        <v>0.10479041916167664</v>
      </c>
    </row>
    <row r="22" spans="1:10" x14ac:dyDescent="0.35">
      <c r="A22" s="2" t="s">
        <v>35</v>
      </c>
      <c r="B22" s="2">
        <v>7014</v>
      </c>
      <c r="C22" s="2">
        <v>6398</v>
      </c>
      <c r="D22" s="2">
        <v>12</v>
      </c>
      <c r="E22" s="2">
        <v>26</v>
      </c>
      <c r="F22" s="2">
        <v>578</v>
      </c>
      <c r="G22" s="2">
        <v>0</v>
      </c>
      <c r="H22" s="2" t="s">
        <v>284</v>
      </c>
      <c r="I22" s="2" t="s">
        <v>265</v>
      </c>
      <c r="J22" s="3">
        <f t="shared" si="0"/>
        <v>8.7824351297405193E-2</v>
      </c>
    </row>
    <row r="23" spans="1:10" x14ac:dyDescent="0.35">
      <c r="A23" s="2" t="s">
        <v>36</v>
      </c>
      <c r="B23" s="2">
        <v>7014</v>
      </c>
      <c r="C23" s="2">
        <v>6517</v>
      </c>
      <c r="D23" s="2">
        <v>11</v>
      </c>
      <c r="E23" s="2">
        <v>29</v>
      </c>
      <c r="F23" s="2">
        <v>457</v>
      </c>
      <c r="G23" s="2">
        <v>0</v>
      </c>
      <c r="H23" s="2" t="s">
        <v>285</v>
      </c>
      <c r="I23" s="2" t="s">
        <v>286</v>
      </c>
      <c r="J23" s="3">
        <f t="shared" si="0"/>
        <v>7.0858283433133731E-2</v>
      </c>
    </row>
    <row r="24" spans="1:10" x14ac:dyDescent="0.35">
      <c r="A24" s="2" t="s">
        <v>37</v>
      </c>
      <c r="B24" s="2">
        <v>7014</v>
      </c>
      <c r="C24" s="2">
        <v>5732</v>
      </c>
      <c r="D24" s="2">
        <v>11</v>
      </c>
      <c r="E24" s="2">
        <v>23</v>
      </c>
      <c r="F24" s="2">
        <v>1248</v>
      </c>
      <c r="G24" s="2">
        <v>0</v>
      </c>
      <c r="H24" s="2" t="s">
        <v>287</v>
      </c>
      <c r="I24" s="2" t="s">
        <v>257</v>
      </c>
      <c r="J24" s="3">
        <f t="shared" si="0"/>
        <v>0.18277730253778157</v>
      </c>
    </row>
    <row r="25" spans="1:10" x14ac:dyDescent="0.35">
      <c r="A25" s="2" t="s">
        <v>38</v>
      </c>
      <c r="B25" s="2">
        <v>7014</v>
      </c>
      <c r="C25" s="2">
        <v>6472</v>
      </c>
      <c r="D25" s="2">
        <v>13</v>
      </c>
      <c r="E25" s="2">
        <v>26</v>
      </c>
      <c r="F25" s="2">
        <v>503</v>
      </c>
      <c r="G25" s="2">
        <v>0</v>
      </c>
      <c r="H25" s="2" t="s">
        <v>288</v>
      </c>
      <c r="I25" s="2" t="s">
        <v>265</v>
      </c>
      <c r="J25" s="3">
        <f t="shared" si="0"/>
        <v>7.7274023381807819E-2</v>
      </c>
    </row>
    <row r="26" spans="1:10" x14ac:dyDescent="0.35">
      <c r="A26" s="2" t="s">
        <v>39</v>
      </c>
      <c r="B26" s="2">
        <v>7014</v>
      </c>
      <c r="C26" s="2">
        <v>6322</v>
      </c>
      <c r="D26" s="2">
        <v>8</v>
      </c>
      <c r="E26" s="2">
        <v>24</v>
      </c>
      <c r="F26" s="2">
        <v>660</v>
      </c>
      <c r="G26" s="2">
        <v>0</v>
      </c>
      <c r="H26" s="2" t="s">
        <v>289</v>
      </c>
      <c r="I26" s="2" t="s">
        <v>258</v>
      </c>
      <c r="J26" s="3">
        <f t="shared" si="0"/>
        <v>9.865982321072142E-2</v>
      </c>
    </row>
    <row r="27" spans="1:10" x14ac:dyDescent="0.35">
      <c r="A27" s="2" t="s">
        <v>40</v>
      </c>
      <c r="B27" s="2">
        <v>7014</v>
      </c>
      <c r="C27" s="2">
        <v>6366</v>
      </c>
      <c r="D27" s="2">
        <v>14</v>
      </c>
      <c r="E27" s="2">
        <v>25</v>
      </c>
      <c r="F27" s="2">
        <v>609</v>
      </c>
      <c r="G27" s="2">
        <v>0</v>
      </c>
      <c r="H27" s="2" t="s">
        <v>130</v>
      </c>
      <c r="I27" s="2" t="s">
        <v>269</v>
      </c>
      <c r="J27" s="3">
        <f t="shared" si="0"/>
        <v>9.2386655260906753E-2</v>
      </c>
    </row>
    <row r="28" spans="1:10" x14ac:dyDescent="0.35">
      <c r="A28" s="2" t="s">
        <v>41</v>
      </c>
      <c r="B28" s="2">
        <v>7014</v>
      </c>
      <c r="C28" s="2">
        <v>6438</v>
      </c>
      <c r="D28" s="2">
        <v>9</v>
      </c>
      <c r="E28" s="2">
        <v>27</v>
      </c>
      <c r="F28" s="2">
        <v>540</v>
      </c>
      <c r="G28" s="2">
        <v>0</v>
      </c>
      <c r="H28" s="2" t="s">
        <v>290</v>
      </c>
      <c r="I28" s="2" t="s">
        <v>278</v>
      </c>
      <c r="J28" s="3">
        <f t="shared" si="0"/>
        <v>8.2121471343028232E-2</v>
      </c>
    </row>
    <row r="29" spans="1:10" x14ac:dyDescent="0.35">
      <c r="A29" s="2" t="s">
        <v>42</v>
      </c>
      <c r="B29" s="2">
        <v>7014</v>
      </c>
      <c r="C29" s="2">
        <v>4765</v>
      </c>
      <c r="D29" s="2">
        <v>8</v>
      </c>
      <c r="E29" s="2">
        <v>11</v>
      </c>
      <c r="F29" s="2">
        <v>2230</v>
      </c>
      <c r="G29" s="2">
        <v>0</v>
      </c>
      <c r="H29" s="2" t="s">
        <v>291</v>
      </c>
      <c r="I29" s="2" t="s">
        <v>292</v>
      </c>
      <c r="J29" s="3">
        <f t="shared" si="0"/>
        <v>0.32064442543484462</v>
      </c>
    </row>
    <row r="30" spans="1:10" x14ac:dyDescent="0.35">
      <c r="A30" s="2" t="s">
        <v>43</v>
      </c>
      <c r="B30" s="2">
        <v>7014</v>
      </c>
      <c r="C30" s="2">
        <v>6304</v>
      </c>
      <c r="D30" s="2">
        <v>9</v>
      </c>
      <c r="E30" s="2">
        <v>23</v>
      </c>
      <c r="F30" s="2">
        <v>678</v>
      </c>
      <c r="G30" s="2">
        <v>0</v>
      </c>
      <c r="H30" s="2" t="s">
        <v>293</v>
      </c>
      <c r="I30" s="2" t="s">
        <v>257</v>
      </c>
      <c r="J30" s="3">
        <f t="shared" si="0"/>
        <v>0.10122611919019105</v>
      </c>
    </row>
    <row r="31" spans="1:10" x14ac:dyDescent="0.35">
      <c r="A31" s="2" t="s">
        <v>44</v>
      </c>
      <c r="B31" s="2">
        <v>7014</v>
      </c>
      <c r="C31" s="2">
        <v>6282</v>
      </c>
      <c r="D31" s="2">
        <v>10</v>
      </c>
      <c r="E31" s="2">
        <v>22</v>
      </c>
      <c r="F31" s="2">
        <v>700</v>
      </c>
      <c r="G31" s="2">
        <v>0</v>
      </c>
      <c r="H31" s="2" t="s">
        <v>294</v>
      </c>
      <c r="I31" s="2" t="s">
        <v>260</v>
      </c>
      <c r="J31" s="3">
        <f t="shared" si="0"/>
        <v>0.10436270316509838</v>
      </c>
    </row>
    <row r="32" spans="1:10" x14ac:dyDescent="0.35">
      <c r="A32" s="2" t="s">
        <v>45</v>
      </c>
      <c r="B32" s="2">
        <v>7014</v>
      </c>
      <c r="C32" s="2">
        <v>6360</v>
      </c>
      <c r="D32" s="2">
        <v>22</v>
      </c>
      <c r="E32" s="2">
        <v>25</v>
      </c>
      <c r="F32" s="2">
        <v>607</v>
      </c>
      <c r="G32" s="2">
        <v>0</v>
      </c>
      <c r="H32" s="2" t="s">
        <v>295</v>
      </c>
      <c r="I32" s="2" t="s">
        <v>269</v>
      </c>
      <c r="J32" s="3">
        <f t="shared" si="0"/>
        <v>9.3242087254063299E-2</v>
      </c>
    </row>
    <row r="33" spans="1:10" x14ac:dyDescent="0.35">
      <c r="A33" s="2" t="s">
        <v>46</v>
      </c>
      <c r="B33" s="2">
        <v>7014</v>
      </c>
      <c r="C33" s="2">
        <v>6255</v>
      </c>
      <c r="D33" s="2">
        <v>12</v>
      </c>
      <c r="E33" s="2">
        <v>24</v>
      </c>
      <c r="F33" s="2">
        <v>723</v>
      </c>
      <c r="G33" s="2">
        <v>0</v>
      </c>
      <c r="H33" s="2" t="s">
        <v>296</v>
      </c>
      <c r="I33" s="2" t="s">
        <v>258</v>
      </c>
      <c r="J33" s="3">
        <f t="shared" si="0"/>
        <v>0.10821214713430283</v>
      </c>
    </row>
    <row r="34" spans="1:10" x14ac:dyDescent="0.35">
      <c r="A34" s="2" t="s">
        <v>47</v>
      </c>
      <c r="B34" s="2">
        <v>7014</v>
      </c>
      <c r="C34" s="2">
        <v>6610</v>
      </c>
      <c r="D34" s="2">
        <v>6</v>
      </c>
      <c r="E34" s="2">
        <v>27</v>
      </c>
      <c r="F34" s="2">
        <v>371</v>
      </c>
      <c r="G34" s="2">
        <v>0</v>
      </c>
      <c r="H34" s="2" t="s">
        <v>297</v>
      </c>
      <c r="I34" s="2" t="s">
        <v>278</v>
      </c>
      <c r="J34" s="3">
        <f t="shared" si="0"/>
        <v>5.7599087539207297E-2</v>
      </c>
    </row>
    <row r="35" spans="1:10" x14ac:dyDescent="0.35">
      <c r="A35" s="2" t="s">
        <v>48</v>
      </c>
      <c r="B35" s="2">
        <v>7014</v>
      </c>
      <c r="C35" s="2">
        <v>6140</v>
      </c>
      <c r="D35" s="2">
        <v>9</v>
      </c>
      <c r="E35" s="2">
        <v>27</v>
      </c>
      <c r="F35" s="2">
        <v>838</v>
      </c>
      <c r="G35" s="2">
        <v>0</v>
      </c>
      <c r="H35" s="2" t="s">
        <v>298</v>
      </c>
      <c r="I35" s="2" t="s">
        <v>278</v>
      </c>
      <c r="J35" s="3">
        <f t="shared" si="0"/>
        <v>0.12460792700313658</v>
      </c>
    </row>
    <row r="36" spans="1:10" x14ac:dyDescent="0.35">
      <c r="A36" s="2" t="s">
        <v>49</v>
      </c>
      <c r="B36" s="2">
        <v>7014</v>
      </c>
      <c r="C36" s="2">
        <v>4714</v>
      </c>
      <c r="D36" s="2">
        <v>13</v>
      </c>
      <c r="E36" s="2">
        <v>17</v>
      </c>
      <c r="F36" s="2">
        <v>2270</v>
      </c>
      <c r="G36" s="2">
        <v>0</v>
      </c>
      <c r="H36" s="2" t="s">
        <v>299</v>
      </c>
      <c r="I36" s="2" t="s">
        <v>300</v>
      </c>
      <c r="J36" s="3">
        <f t="shared" si="0"/>
        <v>0.32791559737667519</v>
      </c>
    </row>
    <row r="37" spans="1:10" x14ac:dyDescent="0.35">
      <c r="A37" s="2" t="s">
        <v>50</v>
      </c>
      <c r="B37" s="2">
        <v>7014</v>
      </c>
      <c r="C37" s="2">
        <v>6329</v>
      </c>
      <c r="D37" s="2">
        <v>12</v>
      </c>
      <c r="E37" s="2">
        <v>29</v>
      </c>
      <c r="F37" s="2">
        <v>644</v>
      </c>
      <c r="G37" s="2">
        <v>0</v>
      </c>
      <c r="H37" s="2" t="s">
        <v>301</v>
      </c>
      <c r="I37" s="2" t="s">
        <v>286</v>
      </c>
      <c r="J37" s="3">
        <f t="shared" si="0"/>
        <v>9.766181921870544E-2</v>
      </c>
    </row>
    <row r="38" spans="1:10" x14ac:dyDescent="0.35">
      <c r="A38" s="2" t="s">
        <v>51</v>
      </c>
      <c r="B38" s="2">
        <v>7014</v>
      </c>
      <c r="C38" s="2">
        <v>5835</v>
      </c>
      <c r="D38" s="2">
        <v>11</v>
      </c>
      <c r="E38" s="2">
        <v>20</v>
      </c>
      <c r="F38" s="2">
        <v>1148</v>
      </c>
      <c r="G38" s="2">
        <v>0</v>
      </c>
      <c r="H38" s="2" t="s">
        <v>302</v>
      </c>
      <c r="I38" s="2" t="s">
        <v>267</v>
      </c>
      <c r="J38" s="3">
        <f t="shared" si="0"/>
        <v>0.16809238665526091</v>
      </c>
    </row>
    <row r="39" spans="1:10" x14ac:dyDescent="0.35">
      <c r="A39" s="2" t="s">
        <v>52</v>
      </c>
      <c r="B39" s="2">
        <v>7014</v>
      </c>
      <c r="C39" s="2">
        <v>6261</v>
      </c>
      <c r="D39" s="2">
        <v>22</v>
      </c>
      <c r="E39" s="2">
        <v>22</v>
      </c>
      <c r="F39" s="2">
        <v>709</v>
      </c>
      <c r="G39" s="2">
        <v>0</v>
      </c>
      <c r="H39" s="2" t="s">
        <v>303</v>
      </c>
      <c r="I39" s="2" t="s">
        <v>260</v>
      </c>
      <c r="J39" s="3">
        <f t="shared" si="0"/>
        <v>0.10735671514114628</v>
      </c>
    </row>
    <row r="40" spans="1:10" x14ac:dyDescent="0.35">
      <c r="A40" s="2" t="s">
        <v>54</v>
      </c>
      <c r="B40" s="2">
        <v>7014</v>
      </c>
      <c r="C40" s="2">
        <v>6622</v>
      </c>
      <c r="D40" s="2">
        <v>8</v>
      </c>
      <c r="E40" s="2">
        <v>32</v>
      </c>
      <c r="F40" s="2">
        <v>352</v>
      </c>
      <c r="G40" s="2">
        <v>0</v>
      </c>
      <c r="H40" s="2" t="s">
        <v>81</v>
      </c>
      <c r="I40" s="2" t="s">
        <v>198</v>
      </c>
      <c r="J40" s="3">
        <f t="shared" si="0"/>
        <v>5.588822355289421E-2</v>
      </c>
    </row>
    <row r="41" spans="1:10" x14ac:dyDescent="0.35">
      <c r="A41" s="2" t="s">
        <v>55</v>
      </c>
      <c r="B41" s="2">
        <v>7014</v>
      </c>
      <c r="C41" s="2">
        <v>6424</v>
      </c>
      <c r="D41" s="2">
        <v>8</v>
      </c>
      <c r="E41" s="2">
        <v>29</v>
      </c>
      <c r="F41" s="2">
        <v>553</v>
      </c>
      <c r="G41" s="2">
        <v>0</v>
      </c>
      <c r="H41" s="2" t="s">
        <v>304</v>
      </c>
      <c r="I41" s="2" t="s">
        <v>286</v>
      </c>
      <c r="J41" s="3">
        <f t="shared" si="0"/>
        <v>8.4117479327060166E-2</v>
      </c>
    </row>
    <row r="42" spans="1:10" x14ac:dyDescent="0.35">
      <c r="A42" s="2" t="s">
        <v>56</v>
      </c>
      <c r="B42" s="2">
        <v>7014</v>
      </c>
      <c r="C42" s="2">
        <v>5272</v>
      </c>
      <c r="D42" s="2">
        <v>14</v>
      </c>
      <c r="E42" s="2">
        <v>20</v>
      </c>
      <c r="F42" s="2">
        <v>1708</v>
      </c>
      <c r="G42" s="2">
        <v>0</v>
      </c>
      <c r="H42" s="2" t="s">
        <v>305</v>
      </c>
      <c r="I42" s="2" t="s">
        <v>267</v>
      </c>
      <c r="J42" s="3">
        <f t="shared" si="0"/>
        <v>0.24836042201311662</v>
      </c>
    </row>
    <row r="43" spans="1:10" x14ac:dyDescent="0.35">
      <c r="A43" s="2" t="s">
        <v>58</v>
      </c>
      <c r="B43" s="2">
        <v>7014</v>
      </c>
      <c r="C43" s="2">
        <v>6508</v>
      </c>
      <c r="D43" s="2">
        <v>10</v>
      </c>
      <c r="E43" s="2">
        <v>27</v>
      </c>
      <c r="F43" s="2">
        <v>469</v>
      </c>
      <c r="G43" s="2">
        <v>0</v>
      </c>
      <c r="H43" s="2" t="s">
        <v>306</v>
      </c>
      <c r="I43" s="2" t="s">
        <v>278</v>
      </c>
      <c r="J43" s="3">
        <f t="shared" si="0"/>
        <v>7.2141431422868552E-2</v>
      </c>
    </row>
    <row r="44" spans="1:10" x14ac:dyDescent="0.35">
      <c r="A44" s="2" t="s">
        <v>59</v>
      </c>
      <c r="B44" s="2">
        <v>7014</v>
      </c>
      <c r="C44" s="2">
        <v>6096</v>
      </c>
      <c r="D44" s="2">
        <v>13</v>
      </c>
      <c r="E44" s="2">
        <v>21</v>
      </c>
      <c r="F44" s="2">
        <v>884</v>
      </c>
      <c r="G44" s="2">
        <v>0</v>
      </c>
      <c r="H44" s="2" t="s">
        <v>307</v>
      </c>
      <c r="I44" s="2" t="s">
        <v>308</v>
      </c>
      <c r="J44" s="3">
        <f t="shared" si="0"/>
        <v>0.13088109495295125</v>
      </c>
    </row>
    <row r="45" spans="1:10" x14ac:dyDescent="0.35">
      <c r="A45" s="2" t="s">
        <v>60</v>
      </c>
      <c r="B45" s="2">
        <v>7014</v>
      </c>
      <c r="C45" s="2">
        <v>6206</v>
      </c>
      <c r="D45" s="2">
        <v>14</v>
      </c>
      <c r="E45" s="2">
        <v>25</v>
      </c>
      <c r="F45" s="2">
        <v>769</v>
      </c>
      <c r="G45" s="2">
        <v>0</v>
      </c>
      <c r="H45" s="2" t="s">
        <v>309</v>
      </c>
      <c r="I45" s="2" t="s">
        <v>269</v>
      </c>
      <c r="J45" s="3">
        <f t="shared" si="0"/>
        <v>0.11519817507841459</v>
      </c>
    </row>
    <row r="46" spans="1:10" x14ac:dyDescent="0.35">
      <c r="A46" s="2" t="s">
        <v>61</v>
      </c>
      <c r="B46" s="2">
        <v>7014</v>
      </c>
      <c r="C46" s="2">
        <v>5727</v>
      </c>
      <c r="D46" s="2">
        <v>14</v>
      </c>
      <c r="E46" s="2">
        <v>24</v>
      </c>
      <c r="F46" s="2">
        <v>1249</v>
      </c>
      <c r="G46" s="2">
        <v>0</v>
      </c>
      <c r="H46" s="2" t="s">
        <v>310</v>
      </c>
      <c r="I46" s="2" t="s">
        <v>258</v>
      </c>
      <c r="J46" s="3">
        <f t="shared" si="0"/>
        <v>0.1834901625320787</v>
      </c>
    </row>
    <row r="47" spans="1:10" x14ac:dyDescent="0.35">
      <c r="A47" s="2" t="s">
        <v>62</v>
      </c>
      <c r="B47" s="2">
        <v>7014</v>
      </c>
      <c r="C47" s="2">
        <v>5609</v>
      </c>
      <c r="D47" s="2">
        <v>13</v>
      </c>
      <c r="E47" s="2">
        <v>20</v>
      </c>
      <c r="F47" s="2">
        <v>1372</v>
      </c>
      <c r="G47" s="2">
        <v>0</v>
      </c>
      <c r="H47" s="2" t="s">
        <v>311</v>
      </c>
      <c r="I47" s="2" t="s">
        <v>267</v>
      </c>
      <c r="J47" s="3">
        <f t="shared" si="0"/>
        <v>0.20031365839749074</v>
      </c>
    </row>
    <row r="48" spans="1:10" x14ac:dyDescent="0.35">
      <c r="A48" s="2" t="s">
        <v>63</v>
      </c>
      <c r="B48" s="2">
        <v>7014</v>
      </c>
      <c r="C48" s="2">
        <v>6273</v>
      </c>
      <c r="D48" s="2">
        <v>9</v>
      </c>
      <c r="E48" s="2">
        <v>29</v>
      </c>
      <c r="F48" s="2">
        <v>703</v>
      </c>
      <c r="G48" s="2">
        <v>0</v>
      </c>
      <c r="H48" s="2" t="s">
        <v>312</v>
      </c>
      <c r="I48" s="2" t="s">
        <v>286</v>
      </c>
      <c r="J48" s="3">
        <f t="shared" si="0"/>
        <v>0.10564585115483319</v>
      </c>
    </row>
    <row r="49" spans="1:10" x14ac:dyDescent="0.35">
      <c r="A49" s="2" t="s">
        <v>64</v>
      </c>
      <c r="B49" s="2">
        <v>7014</v>
      </c>
      <c r="C49" s="2">
        <v>6570</v>
      </c>
      <c r="D49" s="2">
        <v>7</v>
      </c>
      <c r="E49" s="2">
        <v>29</v>
      </c>
      <c r="F49" s="2">
        <v>408</v>
      </c>
      <c r="G49" s="2">
        <v>0</v>
      </c>
      <c r="H49" s="2" t="s">
        <v>313</v>
      </c>
      <c r="I49" s="2" t="s">
        <v>286</v>
      </c>
      <c r="J49" s="3">
        <f t="shared" si="0"/>
        <v>6.3301967493584257E-2</v>
      </c>
    </row>
    <row r="50" spans="1:10" x14ac:dyDescent="0.35">
      <c r="A50" s="2" t="s">
        <v>65</v>
      </c>
      <c r="B50" s="2">
        <v>7014</v>
      </c>
      <c r="C50" s="2">
        <v>6386</v>
      </c>
      <c r="D50" s="2">
        <v>8</v>
      </c>
      <c r="E50" s="2">
        <v>24</v>
      </c>
      <c r="F50" s="2">
        <v>596</v>
      </c>
      <c r="G50" s="2">
        <v>0</v>
      </c>
      <c r="H50" s="2" t="s">
        <v>159</v>
      </c>
      <c r="I50" s="2" t="s">
        <v>258</v>
      </c>
      <c r="J50" s="3">
        <f t="shared" si="0"/>
        <v>8.9535215283718272E-2</v>
      </c>
    </row>
    <row r="51" spans="1:10" x14ac:dyDescent="0.35">
      <c r="A51" s="2" t="s">
        <v>66</v>
      </c>
      <c r="B51" s="2">
        <v>7014</v>
      </c>
      <c r="C51" s="2">
        <v>3904</v>
      </c>
      <c r="D51" s="2">
        <v>15</v>
      </c>
      <c r="E51" s="2">
        <v>16</v>
      </c>
      <c r="F51" s="2">
        <v>3079</v>
      </c>
      <c r="G51" s="2">
        <v>0</v>
      </c>
      <c r="H51" s="2" t="s">
        <v>314</v>
      </c>
      <c r="I51" s="2" t="s">
        <v>315</v>
      </c>
      <c r="J51" s="3">
        <f t="shared" si="0"/>
        <v>0.44339891645280866</v>
      </c>
    </row>
    <row r="52" spans="1:10" x14ac:dyDescent="0.35">
      <c r="A52" s="2" t="s">
        <v>67</v>
      </c>
      <c r="B52" s="2">
        <v>7014</v>
      </c>
      <c r="C52" s="2">
        <v>6586</v>
      </c>
      <c r="D52" s="2">
        <v>13</v>
      </c>
      <c r="E52" s="2">
        <v>26</v>
      </c>
      <c r="F52" s="2">
        <v>389</v>
      </c>
      <c r="G52" s="2">
        <v>0</v>
      </c>
      <c r="H52" s="2" t="s">
        <v>244</v>
      </c>
      <c r="I52" s="2" t="s">
        <v>265</v>
      </c>
      <c r="J52" s="3">
        <f t="shared" si="0"/>
        <v>6.1020815511833477E-2</v>
      </c>
    </row>
    <row r="53" spans="1:10" x14ac:dyDescent="0.35">
      <c r="A53" s="2" t="s">
        <v>68</v>
      </c>
      <c r="B53" s="2">
        <v>7014</v>
      </c>
      <c r="C53" s="2">
        <v>6411</v>
      </c>
      <c r="D53" s="2">
        <v>13</v>
      </c>
      <c r="E53" s="2">
        <v>22</v>
      </c>
      <c r="F53" s="2">
        <v>568</v>
      </c>
      <c r="G53" s="2">
        <v>0</v>
      </c>
      <c r="H53" s="2" t="s">
        <v>316</v>
      </c>
      <c r="I53" s="2" t="s">
        <v>260</v>
      </c>
      <c r="J53" s="3">
        <f t="shared" si="0"/>
        <v>8.5970915312232679E-2</v>
      </c>
    </row>
    <row r="54" spans="1:10" x14ac:dyDescent="0.35">
      <c r="A54" s="2" t="s">
        <v>69</v>
      </c>
      <c r="B54" s="2">
        <v>7014</v>
      </c>
      <c r="C54" s="2">
        <v>6520</v>
      </c>
      <c r="D54" s="2">
        <v>10</v>
      </c>
      <c r="E54" s="2">
        <v>27</v>
      </c>
      <c r="F54" s="2">
        <v>457</v>
      </c>
      <c r="G54" s="2">
        <v>0</v>
      </c>
      <c r="H54" s="2" t="s">
        <v>317</v>
      </c>
      <c r="I54" s="2" t="s">
        <v>278</v>
      </c>
      <c r="J54" s="3">
        <f t="shared" si="0"/>
        <v>7.0430567436555458E-2</v>
      </c>
    </row>
    <row r="55" spans="1:10" x14ac:dyDescent="0.35">
      <c r="A55" s="2" t="s">
        <v>71</v>
      </c>
      <c r="B55" s="2">
        <v>7014</v>
      </c>
      <c r="C55" s="2">
        <v>6037</v>
      </c>
      <c r="D55" s="2">
        <v>6</v>
      </c>
      <c r="E55" s="2">
        <v>20</v>
      </c>
      <c r="F55" s="2">
        <v>951</v>
      </c>
      <c r="G55" s="2">
        <v>0</v>
      </c>
      <c r="H55" s="2" t="s">
        <v>318</v>
      </c>
      <c r="I55" s="2" t="s">
        <v>267</v>
      </c>
      <c r="J55" s="3">
        <f t="shared" si="0"/>
        <v>0.13929284288565727</v>
      </c>
    </row>
    <row r="56" spans="1:10" x14ac:dyDescent="0.35">
      <c r="A56" s="2" t="s">
        <v>72</v>
      </c>
      <c r="B56" s="2">
        <v>7014</v>
      </c>
      <c r="C56" s="2">
        <v>6533</v>
      </c>
      <c r="D56" s="2">
        <v>13</v>
      </c>
      <c r="E56" s="2">
        <v>29</v>
      </c>
      <c r="F56" s="2">
        <v>439</v>
      </c>
      <c r="G56" s="2">
        <v>0</v>
      </c>
      <c r="H56" s="2" t="s">
        <v>167</v>
      </c>
      <c r="I56" s="2" t="s">
        <v>286</v>
      </c>
      <c r="J56" s="3">
        <f t="shared" si="0"/>
        <v>6.8577131451382944E-2</v>
      </c>
    </row>
    <row r="57" spans="1:10" x14ac:dyDescent="0.35">
      <c r="A57" s="2" t="s">
        <v>73</v>
      </c>
      <c r="B57" s="2">
        <v>7014</v>
      </c>
      <c r="C57" s="2">
        <v>5940</v>
      </c>
      <c r="D57" s="2">
        <v>4</v>
      </c>
      <c r="E57" s="2">
        <v>22</v>
      </c>
      <c r="F57" s="2">
        <v>1048</v>
      </c>
      <c r="G57" s="2">
        <v>0</v>
      </c>
      <c r="H57" s="2" t="s">
        <v>319</v>
      </c>
      <c r="I57" s="2" t="s">
        <v>260</v>
      </c>
      <c r="J57" s="3">
        <f t="shared" si="0"/>
        <v>0.15312232677502138</v>
      </c>
    </row>
    <row r="58" spans="1:10" x14ac:dyDescent="0.35">
      <c r="A58" s="2" t="s">
        <v>74</v>
      </c>
      <c r="B58" s="2">
        <v>7014</v>
      </c>
      <c r="C58" s="2">
        <v>6549</v>
      </c>
      <c r="D58" s="2">
        <v>14</v>
      </c>
      <c r="E58" s="2">
        <v>29</v>
      </c>
      <c r="F58" s="2">
        <v>422</v>
      </c>
      <c r="G58" s="2">
        <v>0</v>
      </c>
      <c r="H58" s="2" t="s">
        <v>320</v>
      </c>
      <c r="I58" s="2" t="s">
        <v>286</v>
      </c>
      <c r="J58" s="3">
        <f t="shared" si="0"/>
        <v>6.6295979469632157E-2</v>
      </c>
    </row>
    <row r="59" spans="1:10" x14ac:dyDescent="0.35">
      <c r="A59" s="2" t="s">
        <v>75</v>
      </c>
      <c r="B59" s="2">
        <v>7014</v>
      </c>
      <c r="C59" s="2">
        <v>6153</v>
      </c>
      <c r="D59" s="2">
        <v>14</v>
      </c>
      <c r="E59" s="2">
        <v>22</v>
      </c>
      <c r="F59" s="2">
        <v>825</v>
      </c>
      <c r="G59" s="2">
        <v>0</v>
      </c>
      <c r="H59" s="2" t="s">
        <v>321</v>
      </c>
      <c r="I59" s="2" t="s">
        <v>260</v>
      </c>
      <c r="J59" s="3">
        <f t="shared" si="0"/>
        <v>0.12275449101796407</v>
      </c>
    </row>
    <row r="60" spans="1:10" x14ac:dyDescent="0.35">
      <c r="A60" s="2" t="s">
        <v>76</v>
      </c>
      <c r="B60" s="2">
        <v>7014</v>
      </c>
      <c r="C60" s="2">
        <v>5567</v>
      </c>
      <c r="D60" s="2">
        <v>14</v>
      </c>
      <c r="E60" s="2">
        <v>21</v>
      </c>
      <c r="F60" s="2">
        <v>1412</v>
      </c>
      <c r="G60" s="2">
        <v>0</v>
      </c>
      <c r="H60" s="2" t="s">
        <v>322</v>
      </c>
      <c r="I60" s="2" t="s">
        <v>308</v>
      </c>
      <c r="J60" s="3">
        <f t="shared" si="0"/>
        <v>0.20630168234958654</v>
      </c>
    </row>
    <row r="61" spans="1:10" x14ac:dyDescent="0.35">
      <c r="A61" s="2" t="s">
        <v>77</v>
      </c>
      <c r="B61" s="2">
        <v>7014</v>
      </c>
      <c r="C61" s="2">
        <v>6235</v>
      </c>
      <c r="D61" s="2">
        <v>11</v>
      </c>
      <c r="E61" s="2">
        <v>21</v>
      </c>
      <c r="F61" s="2">
        <v>747</v>
      </c>
      <c r="G61" s="2">
        <v>0</v>
      </c>
      <c r="H61" s="2" t="s">
        <v>323</v>
      </c>
      <c r="I61" s="2" t="s">
        <v>308</v>
      </c>
      <c r="J61" s="3">
        <f t="shared" si="0"/>
        <v>0.11106358711149131</v>
      </c>
    </row>
    <row r="62" spans="1:10" x14ac:dyDescent="0.35">
      <c r="A62" s="2" t="s">
        <v>78</v>
      </c>
      <c r="B62" s="2">
        <v>7014</v>
      </c>
      <c r="C62" s="2">
        <v>5574</v>
      </c>
      <c r="D62" s="2">
        <v>9</v>
      </c>
      <c r="E62" s="2">
        <v>21</v>
      </c>
      <c r="F62" s="2">
        <v>1410</v>
      </c>
      <c r="G62" s="2">
        <v>0</v>
      </c>
      <c r="H62" s="2" t="s">
        <v>324</v>
      </c>
      <c r="I62" s="2" t="s">
        <v>308</v>
      </c>
      <c r="J62" s="3">
        <f t="shared" si="0"/>
        <v>0.20530367835757057</v>
      </c>
    </row>
    <row r="63" spans="1:10" x14ac:dyDescent="0.35">
      <c r="A63" s="2" t="s">
        <v>79</v>
      </c>
      <c r="B63" s="2">
        <v>7014</v>
      </c>
      <c r="C63" s="2">
        <v>6049</v>
      </c>
      <c r="D63" s="2">
        <v>7</v>
      </c>
      <c r="E63" s="2">
        <v>26</v>
      </c>
      <c r="F63" s="2">
        <v>932</v>
      </c>
      <c r="G63" s="2">
        <v>0</v>
      </c>
      <c r="H63" s="2" t="s">
        <v>325</v>
      </c>
      <c r="I63" s="2" t="s">
        <v>265</v>
      </c>
      <c r="J63" s="3">
        <f t="shared" si="0"/>
        <v>0.13758197889934418</v>
      </c>
    </row>
    <row r="64" spans="1:10" x14ac:dyDescent="0.35">
      <c r="A64" s="2" t="s">
        <v>80</v>
      </c>
      <c r="B64" s="2">
        <v>7014</v>
      </c>
      <c r="C64" s="2">
        <v>6263</v>
      </c>
      <c r="D64" s="2">
        <v>14</v>
      </c>
      <c r="E64" s="2">
        <v>24</v>
      </c>
      <c r="F64" s="2">
        <v>713</v>
      </c>
      <c r="G64" s="2">
        <v>0</v>
      </c>
      <c r="H64" s="2" t="s">
        <v>326</v>
      </c>
      <c r="I64" s="2" t="s">
        <v>258</v>
      </c>
      <c r="J64" s="3">
        <f t="shared" si="0"/>
        <v>0.10707157114342743</v>
      </c>
    </row>
    <row r="65" spans="1:10" x14ac:dyDescent="0.35">
      <c r="A65" s="2" t="s">
        <v>82</v>
      </c>
      <c r="B65" s="2">
        <v>7014</v>
      </c>
      <c r="C65" s="2">
        <v>6121</v>
      </c>
      <c r="D65" s="2">
        <v>13</v>
      </c>
      <c r="E65" s="2">
        <v>24</v>
      </c>
      <c r="F65" s="2">
        <v>856</v>
      </c>
      <c r="G65" s="2">
        <v>0</v>
      </c>
      <c r="H65" s="2" t="s">
        <v>327</v>
      </c>
      <c r="I65" s="2" t="s">
        <v>258</v>
      </c>
      <c r="J65" s="3">
        <f t="shared" si="0"/>
        <v>0.12731679498146564</v>
      </c>
    </row>
    <row r="66" spans="1:10" x14ac:dyDescent="0.35">
      <c r="A66" s="2" t="s">
        <v>83</v>
      </c>
      <c r="B66" s="2">
        <v>7014</v>
      </c>
      <c r="C66" s="2">
        <v>6074</v>
      </c>
      <c r="D66" s="2">
        <v>15</v>
      </c>
      <c r="E66" s="2">
        <v>25</v>
      </c>
      <c r="F66" s="2">
        <v>900</v>
      </c>
      <c r="G66" s="2">
        <v>0</v>
      </c>
      <c r="H66" s="2" t="s">
        <v>328</v>
      </c>
      <c r="I66" s="2" t="s">
        <v>269</v>
      </c>
      <c r="J66" s="3">
        <f t="shared" si="0"/>
        <v>0.13401767892785857</v>
      </c>
    </row>
    <row r="67" spans="1:10" x14ac:dyDescent="0.35">
      <c r="A67" s="2" t="s">
        <v>85</v>
      </c>
      <c r="B67" s="2">
        <v>7014</v>
      </c>
      <c r="C67" s="2">
        <v>6356</v>
      </c>
      <c r="D67" s="2">
        <v>13</v>
      </c>
      <c r="E67" s="2">
        <v>26</v>
      </c>
      <c r="F67" s="2">
        <v>619</v>
      </c>
      <c r="G67" s="2">
        <v>0</v>
      </c>
      <c r="H67" s="2" t="s">
        <v>329</v>
      </c>
      <c r="I67" s="2" t="s">
        <v>265</v>
      </c>
      <c r="J67" s="3">
        <f t="shared" ref="J67:J91" si="1">(D67+E67+F67)/B67</f>
        <v>9.3812375249500993E-2</v>
      </c>
    </row>
    <row r="68" spans="1:10" x14ac:dyDescent="0.35">
      <c r="A68" s="2" t="s">
        <v>86</v>
      </c>
      <c r="B68" s="2">
        <v>7014</v>
      </c>
      <c r="C68" s="2">
        <v>5985</v>
      </c>
      <c r="D68" s="2">
        <v>14</v>
      </c>
      <c r="E68" s="2">
        <v>22</v>
      </c>
      <c r="F68" s="2">
        <v>993</v>
      </c>
      <c r="G68" s="2">
        <v>0</v>
      </c>
      <c r="H68" s="2" t="s">
        <v>330</v>
      </c>
      <c r="I68" s="2" t="s">
        <v>260</v>
      </c>
      <c r="J68" s="3">
        <f t="shared" si="1"/>
        <v>0.1467065868263473</v>
      </c>
    </row>
    <row r="69" spans="1:10" x14ac:dyDescent="0.35">
      <c r="A69" s="2" t="s">
        <v>87</v>
      </c>
      <c r="B69" s="2">
        <v>7014</v>
      </c>
      <c r="C69" s="2">
        <v>6024</v>
      </c>
      <c r="D69" s="2">
        <v>11</v>
      </c>
      <c r="E69" s="2">
        <v>32</v>
      </c>
      <c r="F69" s="2">
        <v>947</v>
      </c>
      <c r="G69" s="2">
        <v>0</v>
      </c>
      <c r="H69" s="2" t="s">
        <v>331</v>
      </c>
      <c r="I69" s="2" t="s">
        <v>198</v>
      </c>
      <c r="J69" s="3">
        <f t="shared" si="1"/>
        <v>0.14114627887082976</v>
      </c>
    </row>
    <row r="70" spans="1:10" x14ac:dyDescent="0.35">
      <c r="A70" s="2" t="s">
        <v>88</v>
      </c>
      <c r="B70" s="2">
        <v>7014</v>
      </c>
      <c r="C70" s="2">
        <v>6439</v>
      </c>
      <c r="D70" s="2">
        <v>12</v>
      </c>
      <c r="E70" s="2">
        <v>22</v>
      </c>
      <c r="F70" s="2">
        <v>541</v>
      </c>
      <c r="G70" s="2">
        <v>0</v>
      </c>
      <c r="H70" s="2" t="s">
        <v>332</v>
      </c>
      <c r="I70" s="2" t="s">
        <v>260</v>
      </c>
      <c r="J70" s="3">
        <f t="shared" si="1"/>
        <v>8.1978899344168799E-2</v>
      </c>
    </row>
    <row r="71" spans="1:10" x14ac:dyDescent="0.35">
      <c r="A71" s="2" t="s">
        <v>89</v>
      </c>
      <c r="B71" s="2">
        <v>7014</v>
      </c>
      <c r="C71" s="2">
        <v>5714</v>
      </c>
      <c r="D71" s="2">
        <v>11</v>
      </c>
      <c r="E71" s="2">
        <v>21</v>
      </c>
      <c r="F71" s="2">
        <v>1268</v>
      </c>
      <c r="G71" s="2">
        <v>0</v>
      </c>
      <c r="H71" s="2" t="s">
        <v>333</v>
      </c>
      <c r="I71" s="2" t="s">
        <v>308</v>
      </c>
      <c r="J71" s="3">
        <f t="shared" si="1"/>
        <v>0.18534359851725121</v>
      </c>
    </row>
    <row r="72" spans="1:10" x14ac:dyDescent="0.35">
      <c r="A72" s="2" t="s">
        <v>90</v>
      </c>
      <c r="B72" s="2">
        <v>7014</v>
      </c>
      <c r="C72" s="2">
        <v>6030</v>
      </c>
      <c r="D72" s="2">
        <v>16</v>
      </c>
      <c r="E72" s="2">
        <v>25</v>
      </c>
      <c r="F72" s="2">
        <v>943</v>
      </c>
      <c r="G72" s="2">
        <v>0</v>
      </c>
      <c r="H72" s="2" t="s">
        <v>334</v>
      </c>
      <c r="I72" s="2" t="s">
        <v>269</v>
      </c>
      <c r="J72" s="3">
        <f t="shared" si="1"/>
        <v>0.14029084687767324</v>
      </c>
    </row>
    <row r="73" spans="1:10" x14ac:dyDescent="0.35">
      <c r="A73" s="2" t="s">
        <v>92</v>
      </c>
      <c r="B73" s="2">
        <v>7014</v>
      </c>
      <c r="C73" s="2">
        <v>6360</v>
      </c>
      <c r="D73" s="2">
        <v>11</v>
      </c>
      <c r="E73" s="2">
        <v>22</v>
      </c>
      <c r="F73" s="2">
        <v>621</v>
      </c>
      <c r="G73" s="2">
        <v>0</v>
      </c>
      <c r="H73" s="2" t="s">
        <v>295</v>
      </c>
      <c r="I73" s="2" t="s">
        <v>260</v>
      </c>
      <c r="J73" s="3">
        <f t="shared" si="1"/>
        <v>9.3242087254063299E-2</v>
      </c>
    </row>
    <row r="74" spans="1:10" x14ac:dyDescent="0.35">
      <c r="A74" s="2" t="s">
        <v>93</v>
      </c>
      <c r="B74" s="2">
        <v>7014</v>
      </c>
      <c r="C74" s="2">
        <v>6543</v>
      </c>
      <c r="D74" s="2">
        <v>10</v>
      </c>
      <c r="E74" s="2">
        <v>28</v>
      </c>
      <c r="F74" s="2">
        <v>433</v>
      </c>
      <c r="G74" s="2">
        <v>0</v>
      </c>
      <c r="H74" s="2" t="s">
        <v>335</v>
      </c>
      <c r="I74" s="2" t="s">
        <v>280</v>
      </c>
      <c r="J74" s="3">
        <f t="shared" si="1"/>
        <v>6.7151411462788704E-2</v>
      </c>
    </row>
    <row r="75" spans="1:10" x14ac:dyDescent="0.35">
      <c r="A75" s="2" t="s">
        <v>94</v>
      </c>
      <c r="B75" s="2">
        <v>7014</v>
      </c>
      <c r="C75" s="2">
        <v>6418</v>
      </c>
      <c r="D75" s="2">
        <v>12</v>
      </c>
      <c r="E75" s="2">
        <v>28</v>
      </c>
      <c r="F75" s="2">
        <v>556</v>
      </c>
      <c r="G75" s="2">
        <v>0</v>
      </c>
      <c r="H75" s="2" t="s">
        <v>336</v>
      </c>
      <c r="I75" s="2" t="s">
        <v>280</v>
      </c>
      <c r="J75" s="3">
        <f t="shared" si="1"/>
        <v>8.4972911320216712E-2</v>
      </c>
    </row>
    <row r="76" spans="1:10" x14ac:dyDescent="0.35">
      <c r="A76" s="2" t="s">
        <v>95</v>
      </c>
      <c r="B76" s="2">
        <v>7014</v>
      </c>
      <c r="C76" s="2">
        <v>6493</v>
      </c>
      <c r="D76" s="2">
        <v>7</v>
      </c>
      <c r="E76" s="2">
        <v>28</v>
      </c>
      <c r="F76" s="2">
        <v>486</v>
      </c>
      <c r="G76" s="2">
        <v>0</v>
      </c>
      <c r="H76" s="2" t="s">
        <v>337</v>
      </c>
      <c r="I76" s="2" t="s">
        <v>280</v>
      </c>
      <c r="J76" s="3">
        <f t="shared" si="1"/>
        <v>7.4280011405759905E-2</v>
      </c>
    </row>
    <row r="77" spans="1:10" x14ac:dyDescent="0.35">
      <c r="A77" s="2" t="s">
        <v>96</v>
      </c>
      <c r="B77" s="2">
        <v>7014</v>
      </c>
      <c r="C77" s="2">
        <v>5350</v>
      </c>
      <c r="D77" s="2">
        <v>14</v>
      </c>
      <c r="E77" s="2">
        <v>20</v>
      </c>
      <c r="F77" s="2">
        <v>1630</v>
      </c>
      <c r="G77" s="2">
        <v>0</v>
      </c>
      <c r="H77" s="2" t="s">
        <v>338</v>
      </c>
      <c r="I77" s="2" t="s">
        <v>267</v>
      </c>
      <c r="J77" s="3">
        <f t="shared" si="1"/>
        <v>0.23723980610208156</v>
      </c>
    </row>
    <row r="78" spans="1:10" x14ac:dyDescent="0.35">
      <c r="A78" s="2" t="s">
        <v>97</v>
      </c>
      <c r="B78" s="2">
        <v>7014</v>
      </c>
      <c r="C78" s="2">
        <v>6134</v>
      </c>
      <c r="D78" s="2">
        <v>21</v>
      </c>
      <c r="E78" s="2">
        <v>26</v>
      </c>
      <c r="F78" s="2">
        <v>833</v>
      </c>
      <c r="G78" s="2">
        <v>0</v>
      </c>
      <c r="H78" s="2" t="s">
        <v>339</v>
      </c>
      <c r="I78" s="2" t="s">
        <v>265</v>
      </c>
      <c r="J78" s="3">
        <f t="shared" si="1"/>
        <v>0.12546335899629313</v>
      </c>
    </row>
    <row r="79" spans="1:10" x14ac:dyDescent="0.35">
      <c r="A79" s="2" t="s">
        <v>98</v>
      </c>
      <c r="B79" s="2">
        <v>7014</v>
      </c>
      <c r="C79" s="2">
        <v>6204</v>
      </c>
      <c r="D79" s="2">
        <v>14</v>
      </c>
      <c r="E79" s="2">
        <v>22</v>
      </c>
      <c r="F79" s="2">
        <v>774</v>
      </c>
      <c r="G79" s="2">
        <v>0</v>
      </c>
      <c r="H79" s="2" t="s">
        <v>340</v>
      </c>
      <c r="I79" s="2" t="s">
        <v>260</v>
      </c>
      <c r="J79" s="3">
        <f t="shared" si="1"/>
        <v>0.11548331907613345</v>
      </c>
    </row>
    <row r="80" spans="1:10" x14ac:dyDescent="0.35">
      <c r="A80" s="2" t="s">
        <v>99</v>
      </c>
      <c r="B80" s="2">
        <v>7014</v>
      </c>
      <c r="C80" s="2">
        <v>5802</v>
      </c>
      <c r="D80" s="2">
        <v>7</v>
      </c>
      <c r="E80" s="2">
        <v>22</v>
      </c>
      <c r="F80" s="2">
        <v>1183</v>
      </c>
      <c r="G80" s="2">
        <v>0</v>
      </c>
      <c r="H80" s="2" t="s">
        <v>341</v>
      </c>
      <c r="I80" s="2" t="s">
        <v>260</v>
      </c>
      <c r="J80" s="3">
        <f t="shared" si="1"/>
        <v>0.17279726261762191</v>
      </c>
    </row>
    <row r="81" spans="1:10" x14ac:dyDescent="0.35">
      <c r="A81" s="2" t="s">
        <v>100</v>
      </c>
      <c r="B81" s="2">
        <v>7014</v>
      </c>
      <c r="C81" s="2">
        <v>5142</v>
      </c>
      <c r="D81" s="2">
        <v>13</v>
      </c>
      <c r="E81" s="2">
        <v>23</v>
      </c>
      <c r="F81" s="2">
        <v>1836</v>
      </c>
      <c r="G81" s="2">
        <v>0</v>
      </c>
      <c r="H81" s="2" t="s">
        <v>342</v>
      </c>
      <c r="I81" s="2" t="s">
        <v>257</v>
      </c>
      <c r="J81" s="3">
        <f t="shared" si="1"/>
        <v>0.26689478186484172</v>
      </c>
    </row>
    <row r="82" spans="1:10" x14ac:dyDescent="0.35">
      <c r="A82" s="2" t="s">
        <v>101</v>
      </c>
      <c r="B82" s="2">
        <v>7014</v>
      </c>
      <c r="C82" s="2">
        <v>6389</v>
      </c>
      <c r="D82" s="2">
        <v>11</v>
      </c>
      <c r="E82" s="2">
        <v>27</v>
      </c>
      <c r="F82" s="2">
        <v>587</v>
      </c>
      <c r="G82" s="2">
        <v>0</v>
      </c>
      <c r="H82" s="2" t="s">
        <v>343</v>
      </c>
      <c r="I82" s="2" t="s">
        <v>278</v>
      </c>
      <c r="J82" s="3">
        <f t="shared" si="1"/>
        <v>8.9107499287139999E-2</v>
      </c>
    </row>
    <row r="83" spans="1:10" x14ac:dyDescent="0.35">
      <c r="A83" s="2" t="s">
        <v>102</v>
      </c>
      <c r="B83" s="2">
        <v>7014</v>
      </c>
      <c r="C83" s="2">
        <v>6569</v>
      </c>
      <c r="D83" s="2">
        <v>12</v>
      </c>
      <c r="E83" s="2">
        <v>29</v>
      </c>
      <c r="F83" s="2">
        <v>404</v>
      </c>
      <c r="G83" s="2">
        <v>0</v>
      </c>
      <c r="H83" s="2" t="s">
        <v>344</v>
      </c>
      <c r="I83" s="2" t="s">
        <v>286</v>
      </c>
      <c r="J83" s="3">
        <f t="shared" si="1"/>
        <v>6.3444539492443677E-2</v>
      </c>
    </row>
    <row r="84" spans="1:10" x14ac:dyDescent="0.35">
      <c r="A84" s="2" t="s">
        <v>103</v>
      </c>
      <c r="B84" s="2">
        <v>7014</v>
      </c>
      <c r="C84" s="2">
        <v>6337</v>
      </c>
      <c r="D84" s="2">
        <v>18</v>
      </c>
      <c r="E84" s="2">
        <v>26</v>
      </c>
      <c r="F84" s="2">
        <v>633</v>
      </c>
      <c r="G84" s="2">
        <v>0</v>
      </c>
      <c r="H84" s="2" t="s">
        <v>345</v>
      </c>
      <c r="I84" s="2" t="s">
        <v>265</v>
      </c>
      <c r="J84" s="3">
        <f t="shared" si="1"/>
        <v>9.6521243227830053E-2</v>
      </c>
    </row>
    <row r="85" spans="1:10" x14ac:dyDescent="0.35">
      <c r="A85" s="2" t="s">
        <v>104</v>
      </c>
      <c r="B85" s="2">
        <v>7014</v>
      </c>
      <c r="C85" s="2">
        <v>6683</v>
      </c>
      <c r="D85" s="2">
        <v>9</v>
      </c>
      <c r="E85" s="2">
        <v>30</v>
      </c>
      <c r="F85" s="2">
        <v>292</v>
      </c>
      <c r="G85" s="2">
        <v>0</v>
      </c>
      <c r="H85" s="2" t="s">
        <v>346</v>
      </c>
      <c r="I85" s="2" t="s">
        <v>347</v>
      </c>
      <c r="J85" s="3">
        <f t="shared" si="1"/>
        <v>4.719133162246935E-2</v>
      </c>
    </row>
    <row r="86" spans="1:10" x14ac:dyDescent="0.35">
      <c r="A86" s="2" t="s">
        <v>105</v>
      </c>
      <c r="B86" s="2">
        <v>7014</v>
      </c>
      <c r="C86" s="2">
        <v>6375</v>
      </c>
      <c r="D86" s="2">
        <v>12</v>
      </c>
      <c r="E86" s="2">
        <v>27</v>
      </c>
      <c r="F86" s="2">
        <v>600</v>
      </c>
      <c r="G86" s="2">
        <v>0</v>
      </c>
      <c r="H86" s="2" t="s">
        <v>348</v>
      </c>
      <c r="I86" s="2" t="s">
        <v>278</v>
      </c>
      <c r="J86" s="3">
        <f t="shared" si="1"/>
        <v>9.1103507271171946E-2</v>
      </c>
    </row>
    <row r="87" spans="1:10" x14ac:dyDescent="0.35">
      <c r="A87" s="2" t="s">
        <v>106</v>
      </c>
      <c r="B87" s="2">
        <v>7014</v>
      </c>
      <c r="C87" s="2">
        <v>6119</v>
      </c>
      <c r="D87" s="2">
        <v>8</v>
      </c>
      <c r="E87" s="2">
        <v>24</v>
      </c>
      <c r="F87" s="2">
        <v>863</v>
      </c>
      <c r="G87" s="2">
        <v>0</v>
      </c>
      <c r="H87" s="2" t="s">
        <v>349</v>
      </c>
      <c r="I87" s="2" t="s">
        <v>258</v>
      </c>
      <c r="J87" s="3">
        <f t="shared" si="1"/>
        <v>0.12760193897918448</v>
      </c>
    </row>
    <row r="88" spans="1:10" x14ac:dyDescent="0.35">
      <c r="A88" s="2" t="s">
        <v>107</v>
      </c>
      <c r="B88" s="2">
        <v>7014</v>
      </c>
      <c r="C88" s="2">
        <v>5676</v>
      </c>
      <c r="D88" s="2">
        <v>16</v>
      </c>
      <c r="E88" s="2">
        <v>21</v>
      </c>
      <c r="F88" s="2">
        <v>1301</v>
      </c>
      <c r="G88" s="2">
        <v>0</v>
      </c>
      <c r="H88" s="2" t="s">
        <v>350</v>
      </c>
      <c r="I88" s="2" t="s">
        <v>308</v>
      </c>
      <c r="J88" s="3">
        <f t="shared" si="1"/>
        <v>0.19076133447390933</v>
      </c>
    </row>
    <row r="89" spans="1:10" x14ac:dyDescent="0.35">
      <c r="A89" s="2" t="s">
        <v>108</v>
      </c>
      <c r="B89" s="2">
        <v>7014</v>
      </c>
      <c r="C89" s="2">
        <v>5776</v>
      </c>
      <c r="D89" s="2">
        <v>7</v>
      </c>
      <c r="E89" s="2">
        <v>24</v>
      </c>
      <c r="F89" s="2">
        <v>1207</v>
      </c>
      <c r="G89" s="2">
        <v>0</v>
      </c>
      <c r="H89" s="2" t="s">
        <v>351</v>
      </c>
      <c r="I89" s="2" t="s">
        <v>258</v>
      </c>
      <c r="J89" s="3">
        <f t="shared" si="1"/>
        <v>0.17650413458796693</v>
      </c>
    </row>
    <row r="90" spans="1:10" x14ac:dyDescent="0.35">
      <c r="A90" s="2" t="s">
        <v>109</v>
      </c>
      <c r="B90" s="2">
        <v>7014</v>
      </c>
      <c r="C90" s="2">
        <v>5530</v>
      </c>
      <c r="D90" s="2">
        <v>12</v>
      </c>
      <c r="E90" s="2">
        <v>23</v>
      </c>
      <c r="F90" s="2">
        <v>1449</v>
      </c>
      <c r="G90" s="2">
        <v>0</v>
      </c>
      <c r="H90" s="2" t="s">
        <v>352</v>
      </c>
      <c r="I90" s="2" t="s">
        <v>257</v>
      </c>
      <c r="J90" s="3">
        <f t="shared" si="1"/>
        <v>0.21157684630738524</v>
      </c>
    </row>
    <row r="91" spans="1:10" x14ac:dyDescent="0.35">
      <c r="A91" s="2" t="s">
        <v>110</v>
      </c>
      <c r="B91" s="2">
        <v>7014</v>
      </c>
      <c r="C91" s="2">
        <v>6299</v>
      </c>
      <c r="D91" s="2">
        <v>9</v>
      </c>
      <c r="E91" s="2">
        <v>27</v>
      </c>
      <c r="F91" s="2">
        <v>679</v>
      </c>
      <c r="G91" s="2">
        <v>0</v>
      </c>
      <c r="H91" s="2" t="s">
        <v>353</v>
      </c>
      <c r="I91" s="2" t="s">
        <v>278</v>
      </c>
      <c r="J91" s="3">
        <f t="shared" si="1"/>
        <v>0.10193897918448816</v>
      </c>
    </row>
    <row r="92" spans="1:10" x14ac:dyDescent="0.35">
      <c r="A92" s="2" t="s">
        <v>652</v>
      </c>
      <c r="J92">
        <f>AVERAGE(J2:J91)</f>
        <v>0.13096346988562557</v>
      </c>
    </row>
    <row r="93" spans="1:10" x14ac:dyDescent="0.35">
      <c r="A93" s="2" t="s">
        <v>653</v>
      </c>
      <c r="J93" s="5">
        <f>MEDIAN(J2:J91)</f>
        <v>0.10778443113772455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3"/>
  <sheetViews>
    <sheetView workbookViewId="0">
      <pane xSplit="1" ySplit="1" topLeftCell="E71" activePane="bottomRight" state="frozen"/>
      <selection pane="topRight"/>
      <selection pane="bottomLeft"/>
      <selection pane="bottomRight" activeCell="J2" sqref="J2:J91"/>
    </sheetView>
  </sheetViews>
  <sheetFormatPr defaultRowHeight="14.5" x14ac:dyDescent="0.35"/>
  <cols>
    <col min="1" max="1" width="32" customWidth="1"/>
    <col min="2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354</v>
      </c>
      <c r="B2" s="2">
        <v>1049</v>
      </c>
      <c r="C2" s="2">
        <v>1009</v>
      </c>
      <c r="D2" s="2">
        <v>4</v>
      </c>
      <c r="E2" s="2">
        <v>0</v>
      </c>
      <c r="F2" s="2">
        <v>36</v>
      </c>
      <c r="G2" s="2">
        <v>0</v>
      </c>
      <c r="H2" s="2" t="s">
        <v>355</v>
      </c>
      <c r="I2" s="2" t="s">
        <v>11</v>
      </c>
      <c r="J2" s="3">
        <f>(D2+E2+F2)/B2</f>
        <v>3.8131553860819831E-2</v>
      </c>
    </row>
    <row r="3" spans="1:10" x14ac:dyDescent="0.35">
      <c r="A3" s="2" t="s">
        <v>356</v>
      </c>
      <c r="B3" s="2">
        <v>1049</v>
      </c>
      <c r="C3" s="2">
        <v>990</v>
      </c>
      <c r="D3" s="2">
        <v>0</v>
      </c>
      <c r="E3" s="2">
        <v>0</v>
      </c>
      <c r="F3" s="2">
        <v>59</v>
      </c>
      <c r="G3" s="2">
        <v>0</v>
      </c>
      <c r="H3" s="2" t="s">
        <v>230</v>
      </c>
      <c r="I3" s="2" t="s">
        <v>11</v>
      </c>
      <c r="J3" s="3">
        <f t="shared" ref="J3:J66" si="0">(D3+E3+F3)/B3</f>
        <v>5.624404194470925E-2</v>
      </c>
    </row>
    <row r="4" spans="1:10" x14ac:dyDescent="0.35">
      <c r="A4" s="2" t="s">
        <v>357</v>
      </c>
      <c r="B4" s="2">
        <v>1049</v>
      </c>
      <c r="C4" s="2">
        <v>996</v>
      </c>
      <c r="D4" s="2">
        <v>2</v>
      </c>
      <c r="E4" s="2">
        <v>0</v>
      </c>
      <c r="F4" s="2">
        <v>51</v>
      </c>
      <c r="G4" s="2">
        <v>0</v>
      </c>
      <c r="H4" s="2" t="s">
        <v>213</v>
      </c>
      <c r="I4" s="2" t="s">
        <v>11</v>
      </c>
      <c r="J4" s="3">
        <f t="shared" si="0"/>
        <v>5.0524308865586273E-2</v>
      </c>
    </row>
    <row r="5" spans="1:10" x14ac:dyDescent="0.35">
      <c r="A5" s="2" t="s">
        <v>358</v>
      </c>
      <c r="B5" s="2">
        <v>1049</v>
      </c>
      <c r="C5" s="2">
        <v>998</v>
      </c>
      <c r="D5" s="2">
        <v>1</v>
      </c>
      <c r="E5" s="2">
        <v>0</v>
      </c>
      <c r="F5" s="2">
        <v>50</v>
      </c>
      <c r="G5" s="2">
        <v>0</v>
      </c>
      <c r="H5" s="2" t="s">
        <v>239</v>
      </c>
      <c r="I5" s="2" t="s">
        <v>11</v>
      </c>
      <c r="J5" s="3">
        <f t="shared" si="0"/>
        <v>4.8617731172545281E-2</v>
      </c>
    </row>
    <row r="6" spans="1:10" x14ac:dyDescent="0.35">
      <c r="A6" s="2" t="s">
        <v>359</v>
      </c>
      <c r="B6" s="2">
        <v>1049</v>
      </c>
      <c r="C6" s="2">
        <v>983</v>
      </c>
      <c r="D6" s="2">
        <v>5</v>
      </c>
      <c r="E6" s="2">
        <v>0</v>
      </c>
      <c r="F6" s="2">
        <v>61</v>
      </c>
      <c r="G6" s="2">
        <v>0</v>
      </c>
      <c r="H6" s="2" t="s">
        <v>360</v>
      </c>
      <c r="I6" s="2" t="s">
        <v>11</v>
      </c>
      <c r="J6" s="3">
        <f t="shared" si="0"/>
        <v>6.2917063870352716E-2</v>
      </c>
    </row>
    <row r="7" spans="1:10" x14ac:dyDescent="0.35">
      <c r="A7" s="2" t="s">
        <v>361</v>
      </c>
      <c r="B7" s="2">
        <v>1049</v>
      </c>
      <c r="C7" s="2">
        <v>994</v>
      </c>
      <c r="D7" s="2">
        <v>4</v>
      </c>
      <c r="E7" s="2">
        <v>0</v>
      </c>
      <c r="F7" s="2">
        <v>51</v>
      </c>
      <c r="G7" s="2">
        <v>0</v>
      </c>
      <c r="H7" s="2" t="s">
        <v>362</v>
      </c>
      <c r="I7" s="2" t="s">
        <v>11</v>
      </c>
      <c r="J7" s="3">
        <f t="shared" si="0"/>
        <v>5.2430886558627265E-2</v>
      </c>
    </row>
    <row r="8" spans="1:10" x14ac:dyDescent="0.35">
      <c r="A8" s="2" t="s">
        <v>363</v>
      </c>
      <c r="B8" s="2">
        <v>1049</v>
      </c>
      <c r="C8" s="2">
        <v>1000</v>
      </c>
      <c r="D8" s="2">
        <v>0</v>
      </c>
      <c r="E8" s="2">
        <v>0</v>
      </c>
      <c r="F8" s="2">
        <v>49</v>
      </c>
      <c r="G8" s="2">
        <v>0</v>
      </c>
      <c r="H8" s="2" t="s">
        <v>364</v>
      </c>
      <c r="I8" s="2" t="s">
        <v>11</v>
      </c>
      <c r="J8" s="3">
        <f t="shared" si="0"/>
        <v>4.6711153479504289E-2</v>
      </c>
    </row>
    <row r="9" spans="1:10" x14ac:dyDescent="0.35">
      <c r="A9" s="2" t="s">
        <v>365</v>
      </c>
      <c r="B9" s="2">
        <v>1049</v>
      </c>
      <c r="C9" s="2">
        <v>995</v>
      </c>
      <c r="D9" s="2">
        <v>0</v>
      </c>
      <c r="E9" s="2">
        <v>0</v>
      </c>
      <c r="F9" s="2">
        <v>54</v>
      </c>
      <c r="G9" s="2">
        <v>0</v>
      </c>
      <c r="H9" s="2" t="s">
        <v>241</v>
      </c>
      <c r="I9" s="2" t="s">
        <v>11</v>
      </c>
      <c r="J9" s="3">
        <f t="shared" si="0"/>
        <v>5.1477597712106769E-2</v>
      </c>
    </row>
    <row r="10" spans="1:10" x14ac:dyDescent="0.35">
      <c r="A10" s="2" t="s">
        <v>366</v>
      </c>
      <c r="B10" s="2">
        <v>1049</v>
      </c>
      <c r="C10" s="2">
        <v>984</v>
      </c>
      <c r="D10" s="2">
        <v>3</v>
      </c>
      <c r="E10" s="2">
        <v>0</v>
      </c>
      <c r="F10" s="2">
        <v>62</v>
      </c>
      <c r="G10" s="2">
        <v>0</v>
      </c>
      <c r="H10" s="2" t="s">
        <v>367</v>
      </c>
      <c r="I10" s="2" t="s">
        <v>11</v>
      </c>
      <c r="J10" s="3">
        <f t="shared" si="0"/>
        <v>6.196377502383222E-2</v>
      </c>
    </row>
    <row r="11" spans="1:10" x14ac:dyDescent="0.35">
      <c r="A11" s="2" t="s">
        <v>368</v>
      </c>
      <c r="B11" s="2">
        <v>1049</v>
      </c>
      <c r="C11" s="2">
        <v>962</v>
      </c>
      <c r="D11" s="2">
        <v>0</v>
      </c>
      <c r="E11" s="2">
        <v>0</v>
      </c>
      <c r="F11" s="2">
        <v>87</v>
      </c>
      <c r="G11" s="2">
        <v>0</v>
      </c>
      <c r="H11" s="2" t="s">
        <v>369</v>
      </c>
      <c r="I11" s="2" t="s">
        <v>11</v>
      </c>
      <c r="J11" s="3">
        <f t="shared" si="0"/>
        <v>8.2936129647283127E-2</v>
      </c>
    </row>
    <row r="12" spans="1:10" x14ac:dyDescent="0.35">
      <c r="A12" s="2" t="s">
        <v>370</v>
      </c>
      <c r="B12" s="2">
        <v>1049</v>
      </c>
      <c r="C12" s="2">
        <v>989</v>
      </c>
      <c r="D12" s="2">
        <v>1</v>
      </c>
      <c r="E12" s="2">
        <v>0</v>
      </c>
      <c r="F12" s="2">
        <v>59</v>
      </c>
      <c r="G12" s="2">
        <v>0</v>
      </c>
      <c r="H12" s="2" t="s">
        <v>371</v>
      </c>
      <c r="I12" s="2" t="s">
        <v>11</v>
      </c>
      <c r="J12" s="3">
        <f t="shared" si="0"/>
        <v>5.7197330791229746E-2</v>
      </c>
    </row>
    <row r="13" spans="1:10" x14ac:dyDescent="0.35">
      <c r="A13" s="2" t="s">
        <v>372</v>
      </c>
      <c r="B13" s="2">
        <v>1049</v>
      </c>
      <c r="C13" s="2">
        <v>1010</v>
      </c>
      <c r="D13" s="2">
        <v>0</v>
      </c>
      <c r="E13" s="2">
        <v>0</v>
      </c>
      <c r="F13" s="2">
        <v>39</v>
      </c>
      <c r="G13" s="2">
        <v>0</v>
      </c>
      <c r="H13" s="2" t="s">
        <v>373</v>
      </c>
      <c r="I13" s="2" t="s">
        <v>11</v>
      </c>
      <c r="J13" s="3">
        <f t="shared" si="0"/>
        <v>3.7178265014299335E-2</v>
      </c>
    </row>
    <row r="14" spans="1:10" x14ac:dyDescent="0.35">
      <c r="A14" s="2" t="s">
        <v>374</v>
      </c>
      <c r="B14" s="2">
        <v>1049</v>
      </c>
      <c r="C14" s="2">
        <v>992</v>
      </c>
      <c r="D14" s="2">
        <v>1</v>
      </c>
      <c r="E14" s="2">
        <v>0</v>
      </c>
      <c r="F14" s="2">
        <v>56</v>
      </c>
      <c r="G14" s="2">
        <v>0</v>
      </c>
      <c r="H14" s="2" t="s">
        <v>375</v>
      </c>
      <c r="I14" s="2" t="s">
        <v>11</v>
      </c>
      <c r="J14" s="3">
        <f t="shared" si="0"/>
        <v>5.4337464251668258E-2</v>
      </c>
    </row>
    <row r="15" spans="1:10" x14ac:dyDescent="0.35">
      <c r="A15" s="2" t="s">
        <v>376</v>
      </c>
      <c r="B15" s="2">
        <v>1049</v>
      </c>
      <c r="C15" s="2">
        <v>995</v>
      </c>
      <c r="D15" s="2">
        <v>2</v>
      </c>
      <c r="E15" s="2">
        <v>0</v>
      </c>
      <c r="F15" s="2">
        <v>52</v>
      </c>
      <c r="G15" s="2">
        <v>0</v>
      </c>
      <c r="H15" s="2" t="s">
        <v>241</v>
      </c>
      <c r="I15" s="2" t="s">
        <v>11</v>
      </c>
      <c r="J15" s="3">
        <f t="shared" si="0"/>
        <v>5.1477597712106769E-2</v>
      </c>
    </row>
    <row r="16" spans="1:10" x14ac:dyDescent="0.35">
      <c r="A16" s="2" t="s">
        <v>377</v>
      </c>
      <c r="B16" s="2">
        <v>1049</v>
      </c>
      <c r="C16" s="2">
        <v>991</v>
      </c>
      <c r="D16" s="2">
        <v>1</v>
      </c>
      <c r="E16" s="2">
        <v>0</v>
      </c>
      <c r="F16" s="2">
        <v>57</v>
      </c>
      <c r="G16" s="2">
        <v>0</v>
      </c>
      <c r="H16" s="2" t="s">
        <v>378</v>
      </c>
      <c r="I16" s="2" t="s">
        <v>11</v>
      </c>
      <c r="J16" s="3">
        <f t="shared" si="0"/>
        <v>5.5290753098188754E-2</v>
      </c>
    </row>
    <row r="17" spans="1:10" x14ac:dyDescent="0.35">
      <c r="A17" s="2" t="s">
        <v>379</v>
      </c>
      <c r="B17" s="2">
        <v>1049</v>
      </c>
      <c r="C17" s="2">
        <v>1000</v>
      </c>
      <c r="D17" s="2">
        <v>0</v>
      </c>
      <c r="E17" s="2">
        <v>0</v>
      </c>
      <c r="F17" s="2">
        <v>49</v>
      </c>
      <c r="G17" s="2">
        <v>0</v>
      </c>
      <c r="H17" s="2" t="s">
        <v>364</v>
      </c>
      <c r="I17" s="2" t="s">
        <v>11</v>
      </c>
      <c r="J17" s="3">
        <f t="shared" si="0"/>
        <v>4.6711153479504289E-2</v>
      </c>
    </row>
    <row r="18" spans="1:10" x14ac:dyDescent="0.35">
      <c r="A18" s="2" t="s">
        <v>380</v>
      </c>
      <c r="B18" s="2">
        <v>1049</v>
      </c>
      <c r="C18" s="2">
        <v>1002</v>
      </c>
      <c r="D18" s="2">
        <v>0</v>
      </c>
      <c r="E18" s="2">
        <v>0</v>
      </c>
      <c r="F18" s="2">
        <v>47</v>
      </c>
      <c r="G18" s="2">
        <v>0</v>
      </c>
      <c r="H18" s="2" t="s">
        <v>224</v>
      </c>
      <c r="I18" s="2" t="s">
        <v>11</v>
      </c>
      <c r="J18" s="3">
        <f t="shared" si="0"/>
        <v>4.4804575786463297E-2</v>
      </c>
    </row>
    <row r="19" spans="1:10" x14ac:dyDescent="0.35">
      <c r="A19" s="2" t="s">
        <v>381</v>
      </c>
      <c r="B19" s="2">
        <v>1049</v>
      </c>
      <c r="C19" s="2">
        <v>994</v>
      </c>
      <c r="D19" s="2">
        <v>1</v>
      </c>
      <c r="E19" s="2">
        <v>0</v>
      </c>
      <c r="F19" s="2">
        <v>54</v>
      </c>
      <c r="G19" s="2">
        <v>0</v>
      </c>
      <c r="H19" s="2" t="s">
        <v>362</v>
      </c>
      <c r="I19" s="2" t="s">
        <v>11</v>
      </c>
      <c r="J19" s="3">
        <f t="shared" si="0"/>
        <v>5.2430886558627265E-2</v>
      </c>
    </row>
    <row r="20" spans="1:10" x14ac:dyDescent="0.35">
      <c r="A20" s="2" t="s">
        <v>382</v>
      </c>
      <c r="B20" s="2">
        <v>1049</v>
      </c>
      <c r="C20" s="2">
        <v>998</v>
      </c>
      <c r="D20" s="2">
        <v>1</v>
      </c>
      <c r="E20" s="2">
        <v>0</v>
      </c>
      <c r="F20" s="2">
        <v>50</v>
      </c>
      <c r="G20" s="2">
        <v>0</v>
      </c>
      <c r="H20" s="2" t="s">
        <v>239</v>
      </c>
      <c r="I20" s="2" t="s">
        <v>11</v>
      </c>
      <c r="J20" s="3">
        <f t="shared" si="0"/>
        <v>4.8617731172545281E-2</v>
      </c>
    </row>
    <row r="21" spans="1:10" x14ac:dyDescent="0.35">
      <c r="A21" s="2" t="s">
        <v>383</v>
      </c>
      <c r="B21" s="2">
        <v>1049</v>
      </c>
      <c r="C21" s="2">
        <v>996</v>
      </c>
      <c r="D21" s="2">
        <v>2</v>
      </c>
      <c r="E21" s="2">
        <v>0</v>
      </c>
      <c r="F21" s="2">
        <v>51</v>
      </c>
      <c r="G21" s="2">
        <v>0</v>
      </c>
      <c r="H21" s="2" t="s">
        <v>213</v>
      </c>
      <c r="I21" s="2" t="s">
        <v>11</v>
      </c>
      <c r="J21" s="3">
        <f t="shared" si="0"/>
        <v>5.0524308865586273E-2</v>
      </c>
    </row>
    <row r="22" spans="1:10" x14ac:dyDescent="0.35">
      <c r="A22" s="2" t="s">
        <v>384</v>
      </c>
      <c r="B22" s="2">
        <v>1049</v>
      </c>
      <c r="C22" s="2">
        <v>998</v>
      </c>
      <c r="D22" s="2">
        <v>1</v>
      </c>
      <c r="E22" s="2">
        <v>0</v>
      </c>
      <c r="F22" s="2">
        <v>50</v>
      </c>
      <c r="G22" s="2">
        <v>0</v>
      </c>
      <c r="H22" s="2" t="s">
        <v>239</v>
      </c>
      <c r="I22" s="2" t="s">
        <v>11</v>
      </c>
      <c r="J22" s="3">
        <f t="shared" si="0"/>
        <v>4.8617731172545281E-2</v>
      </c>
    </row>
    <row r="23" spans="1:10" x14ac:dyDescent="0.35">
      <c r="A23" s="2" t="s">
        <v>385</v>
      </c>
      <c r="B23" s="2">
        <v>1049</v>
      </c>
      <c r="C23" s="2">
        <v>1003</v>
      </c>
      <c r="D23" s="2">
        <v>1</v>
      </c>
      <c r="E23" s="2">
        <v>0</v>
      </c>
      <c r="F23" s="2">
        <v>45</v>
      </c>
      <c r="G23" s="2">
        <v>0</v>
      </c>
      <c r="H23" s="2" t="s">
        <v>386</v>
      </c>
      <c r="I23" s="2" t="s">
        <v>11</v>
      </c>
      <c r="J23" s="3">
        <f t="shared" si="0"/>
        <v>4.38512869399428E-2</v>
      </c>
    </row>
    <row r="24" spans="1:10" x14ac:dyDescent="0.35">
      <c r="A24" s="2" t="s">
        <v>387</v>
      </c>
      <c r="B24" s="2">
        <v>1049</v>
      </c>
      <c r="C24" s="2">
        <v>995</v>
      </c>
      <c r="D24" s="2">
        <v>0</v>
      </c>
      <c r="E24" s="2">
        <v>0</v>
      </c>
      <c r="F24" s="2">
        <v>54</v>
      </c>
      <c r="G24" s="2">
        <v>0</v>
      </c>
      <c r="H24" s="2" t="s">
        <v>241</v>
      </c>
      <c r="I24" s="2" t="s">
        <v>11</v>
      </c>
      <c r="J24" s="3">
        <f t="shared" si="0"/>
        <v>5.1477597712106769E-2</v>
      </c>
    </row>
    <row r="25" spans="1:10" x14ac:dyDescent="0.35">
      <c r="A25" s="2" t="s">
        <v>388</v>
      </c>
      <c r="B25" s="2">
        <v>1049</v>
      </c>
      <c r="C25" s="2">
        <v>1005</v>
      </c>
      <c r="D25" s="2">
        <v>0</v>
      </c>
      <c r="E25" s="2">
        <v>0</v>
      </c>
      <c r="F25" s="2">
        <v>44</v>
      </c>
      <c r="G25" s="2">
        <v>0</v>
      </c>
      <c r="H25" s="2" t="s">
        <v>389</v>
      </c>
      <c r="I25" s="2" t="s">
        <v>11</v>
      </c>
      <c r="J25" s="3">
        <f t="shared" si="0"/>
        <v>4.1944709246901808E-2</v>
      </c>
    </row>
    <row r="26" spans="1:10" x14ac:dyDescent="0.35">
      <c r="A26" s="2" t="s">
        <v>390</v>
      </c>
      <c r="B26" s="2">
        <v>1049</v>
      </c>
      <c r="C26" s="2">
        <v>996</v>
      </c>
      <c r="D26" s="2">
        <v>2</v>
      </c>
      <c r="E26" s="2">
        <v>0</v>
      </c>
      <c r="F26" s="2">
        <v>51</v>
      </c>
      <c r="G26" s="2">
        <v>0</v>
      </c>
      <c r="H26" s="2" t="s">
        <v>213</v>
      </c>
      <c r="I26" s="2" t="s">
        <v>11</v>
      </c>
      <c r="J26" s="3">
        <f t="shared" si="0"/>
        <v>5.0524308865586273E-2</v>
      </c>
    </row>
    <row r="27" spans="1:10" x14ac:dyDescent="0.35">
      <c r="A27" s="2" t="s">
        <v>391</v>
      </c>
      <c r="B27" s="2">
        <v>1049</v>
      </c>
      <c r="C27" s="2">
        <v>996</v>
      </c>
      <c r="D27" s="2">
        <v>2</v>
      </c>
      <c r="E27" s="2">
        <v>0</v>
      </c>
      <c r="F27" s="2">
        <v>51</v>
      </c>
      <c r="G27" s="2">
        <v>0</v>
      </c>
      <c r="H27" s="2" t="s">
        <v>213</v>
      </c>
      <c r="I27" s="2" t="s">
        <v>11</v>
      </c>
      <c r="J27" s="3">
        <f t="shared" si="0"/>
        <v>5.0524308865586273E-2</v>
      </c>
    </row>
    <row r="28" spans="1:10" x14ac:dyDescent="0.35">
      <c r="A28" s="2" t="s">
        <v>392</v>
      </c>
      <c r="B28" s="2">
        <v>1049</v>
      </c>
      <c r="C28" s="2">
        <v>993</v>
      </c>
      <c r="D28" s="2">
        <v>2</v>
      </c>
      <c r="E28" s="2">
        <v>0</v>
      </c>
      <c r="F28" s="2">
        <v>54</v>
      </c>
      <c r="G28" s="2">
        <v>0</v>
      </c>
      <c r="H28" s="2" t="s">
        <v>393</v>
      </c>
      <c r="I28" s="2" t="s">
        <v>11</v>
      </c>
      <c r="J28" s="3">
        <f t="shared" si="0"/>
        <v>5.3384175405147762E-2</v>
      </c>
    </row>
    <row r="29" spans="1:10" x14ac:dyDescent="0.35">
      <c r="A29" s="2" t="s">
        <v>394</v>
      </c>
      <c r="B29" s="2">
        <v>1049</v>
      </c>
      <c r="C29" s="2">
        <v>989</v>
      </c>
      <c r="D29" s="2">
        <v>0</v>
      </c>
      <c r="E29" s="2">
        <v>0</v>
      </c>
      <c r="F29" s="2">
        <v>60</v>
      </c>
      <c r="G29" s="2">
        <v>0</v>
      </c>
      <c r="H29" s="2" t="s">
        <v>371</v>
      </c>
      <c r="I29" s="2" t="s">
        <v>11</v>
      </c>
      <c r="J29" s="3">
        <f t="shared" si="0"/>
        <v>5.7197330791229746E-2</v>
      </c>
    </row>
    <row r="30" spans="1:10" x14ac:dyDescent="0.35">
      <c r="A30" s="2" t="s">
        <v>395</v>
      </c>
      <c r="B30" s="2">
        <v>1049</v>
      </c>
      <c r="C30" s="2">
        <v>1001</v>
      </c>
      <c r="D30" s="2">
        <v>1</v>
      </c>
      <c r="E30" s="2">
        <v>0</v>
      </c>
      <c r="F30" s="2">
        <v>47</v>
      </c>
      <c r="G30" s="2">
        <v>0</v>
      </c>
      <c r="H30" s="2" t="s">
        <v>204</v>
      </c>
      <c r="I30" s="2" t="s">
        <v>11</v>
      </c>
      <c r="J30" s="3">
        <f t="shared" si="0"/>
        <v>4.5757864632983793E-2</v>
      </c>
    </row>
    <row r="31" spans="1:10" x14ac:dyDescent="0.35">
      <c r="A31" s="2" t="s">
        <v>396</v>
      </c>
      <c r="B31" s="2">
        <v>1049</v>
      </c>
      <c r="C31" s="2">
        <v>996</v>
      </c>
      <c r="D31" s="2">
        <v>0</v>
      </c>
      <c r="E31" s="2">
        <v>0</v>
      </c>
      <c r="F31" s="2">
        <v>53</v>
      </c>
      <c r="G31" s="2">
        <v>0</v>
      </c>
      <c r="H31" s="2" t="s">
        <v>213</v>
      </c>
      <c r="I31" s="2" t="s">
        <v>11</v>
      </c>
      <c r="J31" s="3">
        <f t="shared" si="0"/>
        <v>5.0524308865586273E-2</v>
      </c>
    </row>
    <row r="32" spans="1:10" x14ac:dyDescent="0.35">
      <c r="A32" s="2" t="s">
        <v>397</v>
      </c>
      <c r="B32" s="2">
        <v>1049</v>
      </c>
      <c r="C32" s="2">
        <v>1002</v>
      </c>
      <c r="D32" s="2">
        <v>1</v>
      </c>
      <c r="E32" s="2">
        <v>0</v>
      </c>
      <c r="F32" s="2">
        <v>46</v>
      </c>
      <c r="G32" s="2">
        <v>0</v>
      </c>
      <c r="H32" s="2" t="s">
        <v>224</v>
      </c>
      <c r="I32" s="2" t="s">
        <v>11</v>
      </c>
      <c r="J32" s="3">
        <f t="shared" si="0"/>
        <v>4.4804575786463297E-2</v>
      </c>
    </row>
    <row r="33" spans="1:10" x14ac:dyDescent="0.35">
      <c r="A33" s="2" t="s">
        <v>398</v>
      </c>
      <c r="B33" s="2">
        <v>1049</v>
      </c>
      <c r="C33" s="2">
        <v>993</v>
      </c>
      <c r="D33" s="2">
        <v>5</v>
      </c>
      <c r="E33" s="2">
        <v>0</v>
      </c>
      <c r="F33" s="2">
        <v>51</v>
      </c>
      <c r="G33" s="2">
        <v>0</v>
      </c>
      <c r="H33" s="2" t="s">
        <v>393</v>
      </c>
      <c r="I33" s="2" t="s">
        <v>11</v>
      </c>
      <c r="J33" s="3">
        <f t="shared" si="0"/>
        <v>5.3384175405147762E-2</v>
      </c>
    </row>
    <row r="34" spans="1:10" x14ac:dyDescent="0.35">
      <c r="A34" s="2" t="s">
        <v>399</v>
      </c>
      <c r="B34" s="2">
        <v>1049</v>
      </c>
      <c r="C34" s="2">
        <v>1002</v>
      </c>
      <c r="D34" s="2">
        <v>2</v>
      </c>
      <c r="E34" s="2">
        <v>0</v>
      </c>
      <c r="F34" s="2">
        <v>45</v>
      </c>
      <c r="G34" s="2">
        <v>0</v>
      </c>
      <c r="H34" s="2" t="s">
        <v>224</v>
      </c>
      <c r="I34" s="2" t="s">
        <v>11</v>
      </c>
      <c r="J34" s="3">
        <f t="shared" si="0"/>
        <v>4.4804575786463297E-2</v>
      </c>
    </row>
    <row r="35" spans="1:10" x14ac:dyDescent="0.35">
      <c r="A35" s="2" t="s">
        <v>400</v>
      </c>
      <c r="B35" s="2">
        <v>1049</v>
      </c>
      <c r="C35" s="2">
        <v>1000</v>
      </c>
      <c r="D35" s="2">
        <v>1</v>
      </c>
      <c r="E35" s="2">
        <v>0</v>
      </c>
      <c r="F35" s="2">
        <v>48</v>
      </c>
      <c r="G35" s="2">
        <v>0</v>
      </c>
      <c r="H35" s="2" t="s">
        <v>364</v>
      </c>
      <c r="I35" s="2" t="s">
        <v>11</v>
      </c>
      <c r="J35" s="3">
        <f t="shared" si="0"/>
        <v>4.6711153479504289E-2</v>
      </c>
    </row>
    <row r="36" spans="1:10" x14ac:dyDescent="0.35">
      <c r="A36" s="2" t="s">
        <v>401</v>
      </c>
      <c r="B36" s="2">
        <v>1049</v>
      </c>
      <c r="C36" s="2">
        <v>979</v>
      </c>
      <c r="D36" s="2">
        <v>2</v>
      </c>
      <c r="E36" s="2">
        <v>0</v>
      </c>
      <c r="F36" s="2">
        <v>68</v>
      </c>
      <c r="G36" s="2">
        <v>0</v>
      </c>
      <c r="H36" s="2" t="s">
        <v>402</v>
      </c>
      <c r="I36" s="2" t="s">
        <v>11</v>
      </c>
      <c r="J36" s="3">
        <f t="shared" si="0"/>
        <v>6.67302192564347E-2</v>
      </c>
    </row>
    <row r="37" spans="1:10" x14ac:dyDescent="0.35">
      <c r="A37" s="2" t="s">
        <v>403</v>
      </c>
      <c r="B37" s="2">
        <v>1049</v>
      </c>
      <c r="C37" s="2">
        <v>992</v>
      </c>
      <c r="D37" s="2">
        <v>3</v>
      </c>
      <c r="E37" s="2">
        <v>0</v>
      </c>
      <c r="F37" s="2">
        <v>54</v>
      </c>
      <c r="G37" s="2">
        <v>0</v>
      </c>
      <c r="H37" s="2" t="s">
        <v>375</v>
      </c>
      <c r="I37" s="2" t="s">
        <v>11</v>
      </c>
      <c r="J37" s="3">
        <f t="shared" si="0"/>
        <v>5.4337464251668258E-2</v>
      </c>
    </row>
    <row r="38" spans="1:10" x14ac:dyDescent="0.35">
      <c r="A38" s="2" t="s">
        <v>404</v>
      </c>
      <c r="B38" s="2">
        <v>1049</v>
      </c>
      <c r="C38" s="2">
        <v>990</v>
      </c>
      <c r="D38" s="2">
        <v>0</v>
      </c>
      <c r="E38" s="2">
        <v>0</v>
      </c>
      <c r="F38" s="2">
        <v>59</v>
      </c>
      <c r="G38" s="2">
        <v>0</v>
      </c>
      <c r="H38" s="2" t="s">
        <v>230</v>
      </c>
      <c r="I38" s="2" t="s">
        <v>11</v>
      </c>
      <c r="J38" s="3">
        <f t="shared" si="0"/>
        <v>5.624404194470925E-2</v>
      </c>
    </row>
    <row r="39" spans="1:10" x14ac:dyDescent="0.35">
      <c r="A39" s="2" t="s">
        <v>405</v>
      </c>
      <c r="B39" s="2">
        <v>1049</v>
      </c>
      <c r="C39" s="2">
        <v>991</v>
      </c>
      <c r="D39" s="2">
        <v>2</v>
      </c>
      <c r="E39" s="2">
        <v>0</v>
      </c>
      <c r="F39" s="2">
        <v>56</v>
      </c>
      <c r="G39" s="2">
        <v>0</v>
      </c>
      <c r="H39" s="2" t="s">
        <v>378</v>
      </c>
      <c r="I39" s="2" t="s">
        <v>11</v>
      </c>
      <c r="J39" s="3">
        <f t="shared" si="0"/>
        <v>5.5290753098188754E-2</v>
      </c>
    </row>
    <row r="40" spans="1:10" x14ac:dyDescent="0.35">
      <c r="A40" s="2" t="s">
        <v>406</v>
      </c>
      <c r="B40" s="2">
        <v>1049</v>
      </c>
      <c r="C40" s="2">
        <v>1013</v>
      </c>
      <c r="D40" s="2">
        <v>1</v>
      </c>
      <c r="E40" s="2">
        <v>0</v>
      </c>
      <c r="F40" s="2">
        <v>35</v>
      </c>
      <c r="G40" s="2">
        <v>0</v>
      </c>
      <c r="H40" s="2" t="s">
        <v>407</v>
      </c>
      <c r="I40" s="2" t="s">
        <v>11</v>
      </c>
      <c r="J40" s="3">
        <f t="shared" si="0"/>
        <v>3.4318398474737846E-2</v>
      </c>
    </row>
    <row r="41" spans="1:10" x14ac:dyDescent="0.35">
      <c r="A41" s="2" t="s">
        <v>408</v>
      </c>
      <c r="B41" s="2">
        <v>1049</v>
      </c>
      <c r="C41" s="2">
        <v>1000</v>
      </c>
      <c r="D41" s="2">
        <v>1</v>
      </c>
      <c r="E41" s="2">
        <v>0</v>
      </c>
      <c r="F41" s="2">
        <v>48</v>
      </c>
      <c r="G41" s="2">
        <v>0</v>
      </c>
      <c r="H41" s="2" t="s">
        <v>364</v>
      </c>
      <c r="I41" s="2" t="s">
        <v>11</v>
      </c>
      <c r="J41" s="3">
        <f t="shared" si="0"/>
        <v>4.6711153479504289E-2</v>
      </c>
    </row>
    <row r="42" spans="1:10" x14ac:dyDescent="0.35">
      <c r="A42" s="2" t="s">
        <v>409</v>
      </c>
      <c r="B42" s="2">
        <v>1049</v>
      </c>
      <c r="C42" s="2">
        <v>980</v>
      </c>
      <c r="D42" s="2">
        <v>1</v>
      </c>
      <c r="E42" s="2">
        <v>0</v>
      </c>
      <c r="F42" s="2">
        <v>68</v>
      </c>
      <c r="G42" s="2">
        <v>0</v>
      </c>
      <c r="H42" s="2" t="s">
        <v>410</v>
      </c>
      <c r="I42" s="2" t="s">
        <v>11</v>
      </c>
      <c r="J42" s="3">
        <f t="shared" si="0"/>
        <v>6.5776930409914197E-2</v>
      </c>
    </row>
    <row r="43" spans="1:10" x14ac:dyDescent="0.35">
      <c r="A43" s="2" t="s">
        <v>411</v>
      </c>
      <c r="B43" s="2">
        <v>1049</v>
      </c>
      <c r="C43" s="2">
        <v>998</v>
      </c>
      <c r="D43" s="2">
        <v>1</v>
      </c>
      <c r="E43" s="2">
        <v>0</v>
      </c>
      <c r="F43" s="2">
        <v>50</v>
      </c>
      <c r="G43" s="2">
        <v>0</v>
      </c>
      <c r="H43" s="2" t="s">
        <v>239</v>
      </c>
      <c r="I43" s="2" t="s">
        <v>11</v>
      </c>
      <c r="J43" s="3">
        <f t="shared" si="0"/>
        <v>4.8617731172545281E-2</v>
      </c>
    </row>
    <row r="44" spans="1:10" x14ac:dyDescent="0.35">
      <c r="A44" s="2" t="s">
        <v>412</v>
      </c>
      <c r="B44" s="2">
        <v>1049</v>
      </c>
      <c r="C44" s="2">
        <v>991</v>
      </c>
      <c r="D44" s="2">
        <v>2</v>
      </c>
      <c r="E44" s="2">
        <v>0</v>
      </c>
      <c r="F44" s="2">
        <v>56</v>
      </c>
      <c r="G44" s="2">
        <v>0</v>
      </c>
      <c r="H44" s="2" t="s">
        <v>378</v>
      </c>
      <c r="I44" s="2" t="s">
        <v>11</v>
      </c>
      <c r="J44" s="3">
        <f t="shared" si="0"/>
        <v>5.5290753098188754E-2</v>
      </c>
    </row>
    <row r="45" spans="1:10" x14ac:dyDescent="0.35">
      <c r="A45" s="2" t="s">
        <v>413</v>
      </c>
      <c r="B45" s="2">
        <v>1049</v>
      </c>
      <c r="C45" s="2">
        <v>992</v>
      </c>
      <c r="D45" s="2">
        <v>2</v>
      </c>
      <c r="E45" s="2">
        <v>0</v>
      </c>
      <c r="F45" s="2">
        <v>55</v>
      </c>
      <c r="G45" s="2">
        <v>0</v>
      </c>
      <c r="H45" s="2" t="s">
        <v>375</v>
      </c>
      <c r="I45" s="2" t="s">
        <v>11</v>
      </c>
      <c r="J45" s="3">
        <f t="shared" si="0"/>
        <v>5.4337464251668258E-2</v>
      </c>
    </row>
    <row r="46" spans="1:10" x14ac:dyDescent="0.35">
      <c r="A46" s="2" t="s">
        <v>414</v>
      </c>
      <c r="B46" s="2">
        <v>1049</v>
      </c>
      <c r="C46" s="2">
        <v>1003</v>
      </c>
      <c r="D46" s="2">
        <v>0</v>
      </c>
      <c r="E46" s="2">
        <v>0</v>
      </c>
      <c r="F46" s="2">
        <v>46</v>
      </c>
      <c r="G46" s="2">
        <v>0</v>
      </c>
      <c r="H46" s="2" t="s">
        <v>386</v>
      </c>
      <c r="I46" s="2" t="s">
        <v>11</v>
      </c>
      <c r="J46" s="3">
        <f t="shared" si="0"/>
        <v>4.38512869399428E-2</v>
      </c>
    </row>
    <row r="47" spans="1:10" x14ac:dyDescent="0.35">
      <c r="A47" s="2" t="s">
        <v>415</v>
      </c>
      <c r="B47" s="2">
        <v>1049</v>
      </c>
      <c r="C47" s="2">
        <v>987</v>
      </c>
      <c r="D47" s="2">
        <v>0</v>
      </c>
      <c r="E47" s="2">
        <v>0</v>
      </c>
      <c r="F47" s="2">
        <v>62</v>
      </c>
      <c r="G47" s="2">
        <v>0</v>
      </c>
      <c r="H47" s="2" t="s">
        <v>242</v>
      </c>
      <c r="I47" s="2" t="s">
        <v>11</v>
      </c>
      <c r="J47" s="3">
        <f t="shared" si="0"/>
        <v>5.9103908484270731E-2</v>
      </c>
    </row>
    <row r="48" spans="1:10" x14ac:dyDescent="0.35">
      <c r="A48" s="2" t="s">
        <v>416</v>
      </c>
      <c r="B48" s="2">
        <v>1049</v>
      </c>
      <c r="C48" s="2">
        <v>1001</v>
      </c>
      <c r="D48" s="2">
        <v>0</v>
      </c>
      <c r="E48" s="2">
        <v>0</v>
      </c>
      <c r="F48" s="2">
        <v>48</v>
      </c>
      <c r="G48" s="2">
        <v>0</v>
      </c>
      <c r="H48" s="2" t="s">
        <v>204</v>
      </c>
      <c r="I48" s="2" t="s">
        <v>11</v>
      </c>
      <c r="J48" s="3">
        <f t="shared" si="0"/>
        <v>4.5757864632983793E-2</v>
      </c>
    </row>
    <row r="49" spans="1:10" x14ac:dyDescent="0.35">
      <c r="A49" s="2" t="s">
        <v>417</v>
      </c>
      <c r="B49" s="2">
        <v>1049</v>
      </c>
      <c r="C49" s="2">
        <v>1007</v>
      </c>
      <c r="D49" s="2">
        <v>2</v>
      </c>
      <c r="E49" s="2">
        <v>0</v>
      </c>
      <c r="F49" s="2">
        <v>40</v>
      </c>
      <c r="G49" s="2">
        <v>0</v>
      </c>
      <c r="H49" s="2" t="s">
        <v>418</v>
      </c>
      <c r="I49" s="2" t="s">
        <v>11</v>
      </c>
      <c r="J49" s="3">
        <f t="shared" si="0"/>
        <v>4.0038131553860823E-2</v>
      </c>
    </row>
    <row r="50" spans="1:10" x14ac:dyDescent="0.35">
      <c r="A50" s="2" t="s">
        <v>419</v>
      </c>
      <c r="B50" s="2">
        <v>1049</v>
      </c>
      <c r="C50" s="2">
        <v>1003</v>
      </c>
      <c r="D50" s="2">
        <v>2</v>
      </c>
      <c r="E50" s="2">
        <v>0</v>
      </c>
      <c r="F50" s="2">
        <v>44</v>
      </c>
      <c r="G50" s="2">
        <v>0</v>
      </c>
      <c r="H50" s="2" t="s">
        <v>386</v>
      </c>
      <c r="I50" s="2" t="s">
        <v>11</v>
      </c>
      <c r="J50" s="3">
        <f t="shared" si="0"/>
        <v>4.38512869399428E-2</v>
      </c>
    </row>
    <row r="51" spans="1:10" x14ac:dyDescent="0.35">
      <c r="A51" s="2" t="s">
        <v>420</v>
      </c>
      <c r="B51" s="2">
        <v>1049</v>
      </c>
      <c r="C51" s="2">
        <v>975</v>
      </c>
      <c r="D51" s="2">
        <v>1</v>
      </c>
      <c r="E51" s="2">
        <v>0</v>
      </c>
      <c r="F51" s="2">
        <v>73</v>
      </c>
      <c r="G51" s="2">
        <v>0</v>
      </c>
      <c r="H51" s="2" t="s">
        <v>421</v>
      </c>
      <c r="I51" s="2" t="s">
        <v>11</v>
      </c>
      <c r="J51" s="3">
        <f t="shared" si="0"/>
        <v>7.0543374642516685E-2</v>
      </c>
    </row>
    <row r="52" spans="1:10" x14ac:dyDescent="0.35">
      <c r="A52" s="2" t="s">
        <v>422</v>
      </c>
      <c r="B52" s="2">
        <v>1049</v>
      </c>
      <c r="C52" s="2">
        <v>1007</v>
      </c>
      <c r="D52" s="2">
        <v>0</v>
      </c>
      <c r="E52" s="2">
        <v>0</v>
      </c>
      <c r="F52" s="2">
        <v>42</v>
      </c>
      <c r="G52" s="2">
        <v>0</v>
      </c>
      <c r="H52" s="2" t="s">
        <v>418</v>
      </c>
      <c r="I52" s="2" t="s">
        <v>11</v>
      </c>
      <c r="J52" s="3">
        <f t="shared" si="0"/>
        <v>4.0038131553860823E-2</v>
      </c>
    </row>
    <row r="53" spans="1:10" x14ac:dyDescent="0.35">
      <c r="A53" s="2" t="s">
        <v>423</v>
      </c>
      <c r="B53" s="2">
        <v>1049</v>
      </c>
      <c r="C53" s="2">
        <v>995</v>
      </c>
      <c r="D53" s="2">
        <v>1</v>
      </c>
      <c r="E53" s="2">
        <v>0</v>
      </c>
      <c r="F53" s="2">
        <v>53</v>
      </c>
      <c r="G53" s="2">
        <v>0</v>
      </c>
      <c r="H53" s="2" t="s">
        <v>241</v>
      </c>
      <c r="I53" s="2" t="s">
        <v>11</v>
      </c>
      <c r="J53" s="3">
        <f t="shared" si="0"/>
        <v>5.1477597712106769E-2</v>
      </c>
    </row>
    <row r="54" spans="1:10" x14ac:dyDescent="0.35">
      <c r="A54" s="2" t="s">
        <v>424</v>
      </c>
      <c r="B54" s="2">
        <v>1049</v>
      </c>
      <c r="C54" s="2">
        <v>1004</v>
      </c>
      <c r="D54" s="2">
        <v>1</v>
      </c>
      <c r="E54" s="2">
        <v>0</v>
      </c>
      <c r="F54" s="2">
        <v>44</v>
      </c>
      <c r="G54" s="2">
        <v>0</v>
      </c>
      <c r="H54" s="2" t="s">
        <v>425</v>
      </c>
      <c r="I54" s="2" t="s">
        <v>11</v>
      </c>
      <c r="J54" s="3">
        <f t="shared" si="0"/>
        <v>4.2897998093422304E-2</v>
      </c>
    </row>
    <row r="55" spans="1:10" x14ac:dyDescent="0.35">
      <c r="A55" s="2" t="s">
        <v>426</v>
      </c>
      <c r="B55" s="2">
        <v>1049</v>
      </c>
      <c r="C55" s="2">
        <v>988</v>
      </c>
      <c r="D55" s="2">
        <v>2</v>
      </c>
      <c r="E55" s="2">
        <v>0</v>
      </c>
      <c r="F55" s="2">
        <v>59</v>
      </c>
      <c r="G55" s="2">
        <v>0</v>
      </c>
      <c r="H55" s="2" t="s">
        <v>427</v>
      </c>
      <c r="I55" s="2" t="s">
        <v>11</v>
      </c>
      <c r="J55" s="3">
        <f t="shared" si="0"/>
        <v>5.8150619637750235E-2</v>
      </c>
    </row>
    <row r="56" spans="1:10" x14ac:dyDescent="0.35">
      <c r="A56" s="2" t="s">
        <v>428</v>
      </c>
      <c r="B56" s="2">
        <v>1049</v>
      </c>
      <c r="C56" s="2">
        <v>995</v>
      </c>
      <c r="D56" s="2">
        <v>2</v>
      </c>
      <c r="E56" s="2">
        <v>0</v>
      </c>
      <c r="F56" s="2">
        <v>52</v>
      </c>
      <c r="G56" s="2">
        <v>0</v>
      </c>
      <c r="H56" s="2" t="s">
        <v>241</v>
      </c>
      <c r="I56" s="2" t="s">
        <v>11</v>
      </c>
      <c r="J56" s="3">
        <f t="shared" si="0"/>
        <v>5.1477597712106769E-2</v>
      </c>
    </row>
    <row r="57" spans="1:10" x14ac:dyDescent="0.35">
      <c r="A57" s="2" t="s">
        <v>429</v>
      </c>
      <c r="B57" s="2">
        <v>1049</v>
      </c>
      <c r="C57" s="2">
        <v>987</v>
      </c>
      <c r="D57" s="2">
        <v>1</v>
      </c>
      <c r="E57" s="2">
        <v>0</v>
      </c>
      <c r="F57" s="2">
        <v>61</v>
      </c>
      <c r="G57" s="2">
        <v>0</v>
      </c>
      <c r="H57" s="2" t="s">
        <v>242</v>
      </c>
      <c r="I57" s="2" t="s">
        <v>11</v>
      </c>
      <c r="J57" s="3">
        <f t="shared" si="0"/>
        <v>5.9103908484270731E-2</v>
      </c>
    </row>
    <row r="58" spans="1:10" x14ac:dyDescent="0.35">
      <c r="A58" s="2" t="s">
        <v>430</v>
      </c>
      <c r="B58" s="2">
        <v>1049</v>
      </c>
      <c r="C58" s="2">
        <v>1005</v>
      </c>
      <c r="D58" s="2">
        <v>2</v>
      </c>
      <c r="E58" s="2">
        <v>0</v>
      </c>
      <c r="F58" s="2">
        <v>42</v>
      </c>
      <c r="G58" s="2">
        <v>0</v>
      </c>
      <c r="H58" s="2" t="s">
        <v>389</v>
      </c>
      <c r="I58" s="2" t="s">
        <v>11</v>
      </c>
      <c r="J58" s="3">
        <f t="shared" si="0"/>
        <v>4.1944709246901808E-2</v>
      </c>
    </row>
    <row r="59" spans="1:10" x14ac:dyDescent="0.35">
      <c r="A59" s="2" t="s">
        <v>431</v>
      </c>
      <c r="B59" s="2">
        <v>1049</v>
      </c>
      <c r="C59" s="2">
        <v>996</v>
      </c>
      <c r="D59" s="2">
        <v>1</v>
      </c>
      <c r="E59" s="2">
        <v>0</v>
      </c>
      <c r="F59" s="2">
        <v>52</v>
      </c>
      <c r="G59" s="2">
        <v>0</v>
      </c>
      <c r="H59" s="2" t="s">
        <v>213</v>
      </c>
      <c r="I59" s="2" t="s">
        <v>11</v>
      </c>
      <c r="J59" s="3">
        <f t="shared" si="0"/>
        <v>5.0524308865586273E-2</v>
      </c>
    </row>
    <row r="60" spans="1:10" x14ac:dyDescent="0.35">
      <c r="A60" s="2" t="s">
        <v>432</v>
      </c>
      <c r="B60" s="2">
        <v>1049</v>
      </c>
      <c r="C60" s="2">
        <v>989</v>
      </c>
      <c r="D60" s="2">
        <v>4</v>
      </c>
      <c r="E60" s="2">
        <v>0</v>
      </c>
      <c r="F60" s="2">
        <v>56</v>
      </c>
      <c r="G60" s="2">
        <v>0</v>
      </c>
      <c r="H60" s="2" t="s">
        <v>371</v>
      </c>
      <c r="I60" s="2" t="s">
        <v>11</v>
      </c>
      <c r="J60" s="3">
        <f t="shared" si="0"/>
        <v>5.7197330791229746E-2</v>
      </c>
    </row>
    <row r="61" spans="1:10" x14ac:dyDescent="0.35">
      <c r="A61" s="2" t="s">
        <v>433</v>
      </c>
      <c r="B61" s="2">
        <v>1049</v>
      </c>
      <c r="C61" s="2">
        <v>995</v>
      </c>
      <c r="D61" s="2">
        <v>1</v>
      </c>
      <c r="E61" s="2">
        <v>0</v>
      </c>
      <c r="F61" s="2">
        <v>53</v>
      </c>
      <c r="G61" s="2">
        <v>0</v>
      </c>
      <c r="H61" s="2" t="s">
        <v>241</v>
      </c>
      <c r="I61" s="2" t="s">
        <v>11</v>
      </c>
      <c r="J61" s="3">
        <f t="shared" si="0"/>
        <v>5.1477597712106769E-2</v>
      </c>
    </row>
    <row r="62" spans="1:10" x14ac:dyDescent="0.35">
      <c r="A62" s="2" t="s">
        <v>434</v>
      </c>
      <c r="B62" s="2">
        <v>1049</v>
      </c>
      <c r="C62" s="2">
        <v>1000</v>
      </c>
      <c r="D62" s="2">
        <v>0</v>
      </c>
      <c r="E62" s="2">
        <v>0</v>
      </c>
      <c r="F62" s="2">
        <v>49</v>
      </c>
      <c r="G62" s="2">
        <v>0</v>
      </c>
      <c r="H62" s="2" t="s">
        <v>364</v>
      </c>
      <c r="I62" s="2" t="s">
        <v>11</v>
      </c>
      <c r="J62" s="3">
        <f t="shared" si="0"/>
        <v>4.6711153479504289E-2</v>
      </c>
    </row>
    <row r="63" spans="1:10" x14ac:dyDescent="0.35">
      <c r="A63" s="2" t="s">
        <v>435</v>
      </c>
      <c r="B63" s="2">
        <v>1049</v>
      </c>
      <c r="C63" s="2">
        <v>990</v>
      </c>
      <c r="D63" s="2">
        <v>5</v>
      </c>
      <c r="E63" s="2">
        <v>0</v>
      </c>
      <c r="F63" s="2">
        <v>54</v>
      </c>
      <c r="G63" s="2">
        <v>0</v>
      </c>
      <c r="H63" s="2" t="s">
        <v>230</v>
      </c>
      <c r="I63" s="2" t="s">
        <v>11</v>
      </c>
      <c r="J63" s="3">
        <f t="shared" si="0"/>
        <v>5.624404194470925E-2</v>
      </c>
    </row>
    <row r="64" spans="1:10" x14ac:dyDescent="0.35">
      <c r="A64" s="2" t="s">
        <v>436</v>
      </c>
      <c r="B64" s="2">
        <v>1049</v>
      </c>
      <c r="C64" s="2">
        <v>996</v>
      </c>
      <c r="D64" s="2">
        <v>1</v>
      </c>
      <c r="E64" s="2">
        <v>0</v>
      </c>
      <c r="F64" s="2">
        <v>52</v>
      </c>
      <c r="G64" s="2">
        <v>0</v>
      </c>
      <c r="H64" s="2" t="s">
        <v>213</v>
      </c>
      <c r="I64" s="2" t="s">
        <v>11</v>
      </c>
      <c r="J64" s="3">
        <f t="shared" si="0"/>
        <v>5.0524308865586273E-2</v>
      </c>
    </row>
    <row r="65" spans="1:10" x14ac:dyDescent="0.35">
      <c r="A65" s="2" t="s">
        <v>437</v>
      </c>
      <c r="B65" s="2">
        <v>1049</v>
      </c>
      <c r="C65" s="2">
        <v>991</v>
      </c>
      <c r="D65" s="2">
        <v>4</v>
      </c>
      <c r="E65" s="2">
        <v>0</v>
      </c>
      <c r="F65" s="2">
        <v>54</v>
      </c>
      <c r="G65" s="2">
        <v>0</v>
      </c>
      <c r="H65" s="2" t="s">
        <v>378</v>
      </c>
      <c r="I65" s="2" t="s">
        <v>11</v>
      </c>
      <c r="J65" s="3">
        <f t="shared" si="0"/>
        <v>5.5290753098188754E-2</v>
      </c>
    </row>
    <row r="66" spans="1:10" x14ac:dyDescent="0.35">
      <c r="A66" s="2" t="s">
        <v>438</v>
      </c>
      <c r="B66" s="2">
        <v>1049</v>
      </c>
      <c r="C66" s="2">
        <v>991</v>
      </c>
      <c r="D66" s="2">
        <v>2</v>
      </c>
      <c r="E66" s="2">
        <v>0</v>
      </c>
      <c r="F66" s="2">
        <v>56</v>
      </c>
      <c r="G66" s="2">
        <v>0</v>
      </c>
      <c r="H66" s="2" t="s">
        <v>378</v>
      </c>
      <c r="I66" s="2" t="s">
        <v>11</v>
      </c>
      <c r="J66" s="3">
        <f t="shared" si="0"/>
        <v>5.5290753098188754E-2</v>
      </c>
    </row>
    <row r="67" spans="1:10" x14ac:dyDescent="0.35">
      <c r="A67" s="2" t="s">
        <v>439</v>
      </c>
      <c r="B67" s="2">
        <v>1049</v>
      </c>
      <c r="C67" s="2">
        <v>998</v>
      </c>
      <c r="D67" s="2">
        <v>1</v>
      </c>
      <c r="E67" s="2">
        <v>0</v>
      </c>
      <c r="F67" s="2">
        <v>50</v>
      </c>
      <c r="G67" s="2">
        <v>0</v>
      </c>
      <c r="H67" s="2" t="s">
        <v>239</v>
      </c>
      <c r="I67" s="2" t="s">
        <v>11</v>
      </c>
      <c r="J67" s="3">
        <f t="shared" ref="J67:J91" si="1">(D67+E67+F67)/B67</f>
        <v>4.8617731172545281E-2</v>
      </c>
    </row>
    <row r="68" spans="1:10" x14ac:dyDescent="0.35">
      <c r="A68" s="2" t="s">
        <v>440</v>
      </c>
      <c r="B68" s="2">
        <v>1049</v>
      </c>
      <c r="C68" s="2">
        <v>996</v>
      </c>
      <c r="D68" s="2">
        <v>1</v>
      </c>
      <c r="E68" s="2">
        <v>0</v>
      </c>
      <c r="F68" s="2">
        <v>52</v>
      </c>
      <c r="G68" s="2">
        <v>0</v>
      </c>
      <c r="H68" s="2" t="s">
        <v>213</v>
      </c>
      <c r="I68" s="2" t="s">
        <v>11</v>
      </c>
      <c r="J68" s="3">
        <f t="shared" si="1"/>
        <v>5.0524308865586273E-2</v>
      </c>
    </row>
    <row r="69" spans="1:10" x14ac:dyDescent="0.35">
      <c r="A69" s="2" t="s">
        <v>441</v>
      </c>
      <c r="B69" s="2">
        <v>1049</v>
      </c>
      <c r="C69" s="2">
        <v>997</v>
      </c>
      <c r="D69" s="2">
        <v>0</v>
      </c>
      <c r="E69" s="2">
        <v>0</v>
      </c>
      <c r="F69" s="2">
        <v>52</v>
      </c>
      <c r="G69" s="2">
        <v>0</v>
      </c>
      <c r="H69" s="2" t="s">
        <v>442</v>
      </c>
      <c r="I69" s="2" t="s">
        <v>11</v>
      </c>
      <c r="J69" s="3">
        <f t="shared" si="1"/>
        <v>4.9571020019065777E-2</v>
      </c>
    </row>
    <row r="70" spans="1:10" x14ac:dyDescent="0.35">
      <c r="A70" s="2" t="s">
        <v>443</v>
      </c>
      <c r="B70" s="2">
        <v>1049</v>
      </c>
      <c r="C70" s="2">
        <v>997</v>
      </c>
      <c r="D70" s="2">
        <v>0</v>
      </c>
      <c r="E70" s="2">
        <v>1</v>
      </c>
      <c r="F70" s="2">
        <v>51</v>
      </c>
      <c r="G70" s="2">
        <v>0</v>
      </c>
      <c r="H70" s="2" t="s">
        <v>442</v>
      </c>
      <c r="I70" s="2" t="s">
        <v>70</v>
      </c>
      <c r="J70" s="3">
        <f t="shared" si="1"/>
        <v>4.9571020019065777E-2</v>
      </c>
    </row>
    <row r="71" spans="1:10" x14ac:dyDescent="0.35">
      <c r="A71" s="2" t="s">
        <v>444</v>
      </c>
      <c r="B71" s="2">
        <v>1049</v>
      </c>
      <c r="C71" s="2">
        <v>991</v>
      </c>
      <c r="D71" s="2">
        <v>3</v>
      </c>
      <c r="E71" s="2">
        <v>0</v>
      </c>
      <c r="F71" s="2">
        <v>55</v>
      </c>
      <c r="G71" s="2">
        <v>0</v>
      </c>
      <c r="H71" s="2" t="s">
        <v>378</v>
      </c>
      <c r="I71" s="2" t="s">
        <v>11</v>
      </c>
      <c r="J71" s="3">
        <f t="shared" si="1"/>
        <v>5.5290753098188754E-2</v>
      </c>
    </row>
    <row r="72" spans="1:10" x14ac:dyDescent="0.35">
      <c r="A72" s="2" t="s">
        <v>445</v>
      </c>
      <c r="B72" s="2">
        <v>1049</v>
      </c>
      <c r="C72" s="2">
        <v>991</v>
      </c>
      <c r="D72" s="2">
        <v>1</v>
      </c>
      <c r="E72" s="2">
        <v>0</v>
      </c>
      <c r="F72" s="2">
        <v>57</v>
      </c>
      <c r="G72" s="2">
        <v>0</v>
      </c>
      <c r="H72" s="2" t="s">
        <v>378</v>
      </c>
      <c r="I72" s="2" t="s">
        <v>11</v>
      </c>
      <c r="J72" s="3">
        <f t="shared" si="1"/>
        <v>5.5290753098188754E-2</v>
      </c>
    </row>
    <row r="73" spans="1:10" x14ac:dyDescent="0.35">
      <c r="A73" s="2" t="s">
        <v>446</v>
      </c>
      <c r="B73" s="2">
        <v>1049</v>
      </c>
      <c r="C73" s="2">
        <v>997</v>
      </c>
      <c r="D73" s="2">
        <v>0</v>
      </c>
      <c r="E73" s="2">
        <v>0</v>
      </c>
      <c r="F73" s="2">
        <v>52</v>
      </c>
      <c r="G73" s="2">
        <v>0</v>
      </c>
      <c r="H73" s="2" t="s">
        <v>442</v>
      </c>
      <c r="I73" s="2" t="s">
        <v>11</v>
      </c>
      <c r="J73" s="3">
        <f t="shared" si="1"/>
        <v>4.9571020019065777E-2</v>
      </c>
    </row>
    <row r="74" spans="1:10" x14ac:dyDescent="0.35">
      <c r="A74" s="2" t="s">
        <v>447</v>
      </c>
      <c r="B74" s="2">
        <v>1049</v>
      </c>
      <c r="C74" s="2">
        <v>994</v>
      </c>
      <c r="D74" s="2">
        <v>0</v>
      </c>
      <c r="E74" s="2">
        <v>0</v>
      </c>
      <c r="F74" s="2">
        <v>55</v>
      </c>
      <c r="G74" s="2">
        <v>0</v>
      </c>
      <c r="H74" s="2" t="s">
        <v>362</v>
      </c>
      <c r="I74" s="2" t="s">
        <v>11</v>
      </c>
      <c r="J74" s="3">
        <f t="shared" si="1"/>
        <v>5.2430886558627265E-2</v>
      </c>
    </row>
    <row r="75" spans="1:10" x14ac:dyDescent="0.35">
      <c r="A75" s="2" t="s">
        <v>448</v>
      </c>
      <c r="B75" s="2">
        <v>1049</v>
      </c>
      <c r="C75" s="2">
        <v>1004</v>
      </c>
      <c r="D75" s="2">
        <v>0</v>
      </c>
      <c r="E75" s="2">
        <v>1</v>
      </c>
      <c r="F75" s="2">
        <v>44</v>
      </c>
      <c r="G75" s="2">
        <v>0</v>
      </c>
      <c r="H75" s="2" t="s">
        <v>425</v>
      </c>
      <c r="I75" s="2" t="s">
        <v>70</v>
      </c>
      <c r="J75" s="3">
        <f t="shared" si="1"/>
        <v>4.2897998093422304E-2</v>
      </c>
    </row>
    <row r="76" spans="1:10" x14ac:dyDescent="0.35">
      <c r="A76" s="2" t="s">
        <v>449</v>
      </c>
      <c r="B76" s="2">
        <v>1049</v>
      </c>
      <c r="C76" s="2">
        <v>1001</v>
      </c>
      <c r="D76" s="2">
        <v>0</v>
      </c>
      <c r="E76" s="2">
        <v>0</v>
      </c>
      <c r="F76" s="2">
        <v>48</v>
      </c>
      <c r="G76" s="2">
        <v>0</v>
      </c>
      <c r="H76" s="2" t="s">
        <v>204</v>
      </c>
      <c r="I76" s="2" t="s">
        <v>11</v>
      </c>
      <c r="J76" s="3">
        <f t="shared" si="1"/>
        <v>4.5757864632983793E-2</v>
      </c>
    </row>
    <row r="77" spans="1:10" x14ac:dyDescent="0.35">
      <c r="A77" s="2" t="s">
        <v>450</v>
      </c>
      <c r="B77" s="2">
        <v>1049</v>
      </c>
      <c r="C77" s="2">
        <v>989</v>
      </c>
      <c r="D77" s="2">
        <v>0</v>
      </c>
      <c r="E77" s="2">
        <v>0</v>
      </c>
      <c r="F77" s="2">
        <v>60</v>
      </c>
      <c r="G77" s="2">
        <v>0</v>
      </c>
      <c r="H77" s="2" t="s">
        <v>371</v>
      </c>
      <c r="I77" s="2" t="s">
        <v>11</v>
      </c>
      <c r="J77" s="3">
        <f t="shared" si="1"/>
        <v>5.7197330791229746E-2</v>
      </c>
    </row>
    <row r="78" spans="1:10" x14ac:dyDescent="0.35">
      <c r="A78" s="2" t="s">
        <v>451</v>
      </c>
      <c r="B78" s="2">
        <v>1049</v>
      </c>
      <c r="C78" s="2">
        <v>998</v>
      </c>
      <c r="D78" s="2">
        <v>2</v>
      </c>
      <c r="E78" s="2">
        <v>0</v>
      </c>
      <c r="F78" s="2">
        <v>49</v>
      </c>
      <c r="G78" s="2">
        <v>0</v>
      </c>
      <c r="H78" s="2" t="s">
        <v>239</v>
      </c>
      <c r="I78" s="2" t="s">
        <v>11</v>
      </c>
      <c r="J78" s="3">
        <f t="shared" si="1"/>
        <v>4.8617731172545281E-2</v>
      </c>
    </row>
    <row r="79" spans="1:10" x14ac:dyDescent="0.35">
      <c r="A79" s="2" t="s">
        <v>452</v>
      </c>
      <c r="B79" s="2">
        <v>1049</v>
      </c>
      <c r="C79" s="2">
        <v>990</v>
      </c>
      <c r="D79" s="2">
        <v>4</v>
      </c>
      <c r="E79" s="2">
        <v>0</v>
      </c>
      <c r="F79" s="2">
        <v>55</v>
      </c>
      <c r="G79" s="2">
        <v>0</v>
      </c>
      <c r="H79" s="2" t="s">
        <v>230</v>
      </c>
      <c r="I79" s="2" t="s">
        <v>11</v>
      </c>
      <c r="J79" s="3">
        <f t="shared" si="1"/>
        <v>5.624404194470925E-2</v>
      </c>
    </row>
    <row r="80" spans="1:10" x14ac:dyDescent="0.35">
      <c r="A80" s="2" t="s">
        <v>453</v>
      </c>
      <c r="B80" s="2">
        <v>1049</v>
      </c>
      <c r="C80" s="2">
        <v>992</v>
      </c>
      <c r="D80" s="2">
        <v>3</v>
      </c>
      <c r="E80" s="2">
        <v>0</v>
      </c>
      <c r="F80" s="2">
        <v>54</v>
      </c>
      <c r="G80" s="2">
        <v>0</v>
      </c>
      <c r="H80" s="2" t="s">
        <v>375</v>
      </c>
      <c r="I80" s="2" t="s">
        <v>11</v>
      </c>
      <c r="J80" s="3">
        <f t="shared" si="1"/>
        <v>5.4337464251668258E-2</v>
      </c>
    </row>
    <row r="81" spans="1:10" x14ac:dyDescent="0.35">
      <c r="A81" s="2" t="s">
        <v>454</v>
      </c>
      <c r="B81" s="2">
        <v>1049</v>
      </c>
      <c r="C81" s="2">
        <v>980</v>
      </c>
      <c r="D81" s="2">
        <v>4</v>
      </c>
      <c r="E81" s="2">
        <v>0</v>
      </c>
      <c r="F81" s="2">
        <v>65</v>
      </c>
      <c r="G81" s="2">
        <v>0</v>
      </c>
      <c r="H81" s="2" t="s">
        <v>410</v>
      </c>
      <c r="I81" s="2" t="s">
        <v>11</v>
      </c>
      <c r="J81" s="3">
        <f t="shared" si="1"/>
        <v>6.5776930409914197E-2</v>
      </c>
    </row>
    <row r="82" spans="1:10" x14ac:dyDescent="0.35">
      <c r="A82" s="2" t="s">
        <v>455</v>
      </c>
      <c r="B82" s="2">
        <v>1049</v>
      </c>
      <c r="C82" s="2">
        <v>1000</v>
      </c>
      <c r="D82" s="2">
        <v>1</v>
      </c>
      <c r="E82" s="2">
        <v>0</v>
      </c>
      <c r="F82" s="2">
        <v>48</v>
      </c>
      <c r="G82" s="2">
        <v>0</v>
      </c>
      <c r="H82" s="2" t="s">
        <v>364</v>
      </c>
      <c r="I82" s="2" t="s">
        <v>11</v>
      </c>
      <c r="J82" s="3">
        <f t="shared" si="1"/>
        <v>4.6711153479504289E-2</v>
      </c>
    </row>
    <row r="83" spans="1:10" x14ac:dyDescent="0.35">
      <c r="A83" s="2" t="s">
        <v>456</v>
      </c>
      <c r="B83" s="2">
        <v>1049</v>
      </c>
      <c r="C83" s="2">
        <v>1004</v>
      </c>
      <c r="D83" s="2">
        <v>0</v>
      </c>
      <c r="E83" s="2">
        <v>0</v>
      </c>
      <c r="F83" s="2">
        <v>45</v>
      </c>
      <c r="G83" s="2">
        <v>0</v>
      </c>
      <c r="H83" s="2" t="s">
        <v>425</v>
      </c>
      <c r="I83" s="2" t="s">
        <v>11</v>
      </c>
      <c r="J83" s="3">
        <f t="shared" si="1"/>
        <v>4.2897998093422304E-2</v>
      </c>
    </row>
    <row r="84" spans="1:10" x14ac:dyDescent="0.35">
      <c r="A84" s="2" t="s">
        <v>457</v>
      </c>
      <c r="B84" s="2">
        <v>1049</v>
      </c>
      <c r="C84" s="2">
        <v>993</v>
      </c>
      <c r="D84" s="2">
        <v>0</v>
      </c>
      <c r="E84" s="2">
        <v>0</v>
      </c>
      <c r="F84" s="2">
        <v>56</v>
      </c>
      <c r="G84" s="2">
        <v>0</v>
      </c>
      <c r="H84" s="2" t="s">
        <v>393</v>
      </c>
      <c r="I84" s="2" t="s">
        <v>11</v>
      </c>
      <c r="J84" s="3">
        <f t="shared" si="1"/>
        <v>5.3384175405147762E-2</v>
      </c>
    </row>
    <row r="85" spans="1:10" x14ac:dyDescent="0.35">
      <c r="A85" s="2" t="s">
        <v>458</v>
      </c>
      <c r="B85" s="2">
        <v>1049</v>
      </c>
      <c r="C85" s="2">
        <v>1008</v>
      </c>
      <c r="D85" s="2">
        <v>1</v>
      </c>
      <c r="E85" s="2">
        <v>0</v>
      </c>
      <c r="F85" s="2">
        <v>40</v>
      </c>
      <c r="G85" s="2">
        <v>0</v>
      </c>
      <c r="H85" s="2" t="s">
        <v>459</v>
      </c>
      <c r="I85" s="2" t="s">
        <v>11</v>
      </c>
      <c r="J85" s="3">
        <f t="shared" si="1"/>
        <v>3.9084842707340327E-2</v>
      </c>
    </row>
    <row r="86" spans="1:10" x14ac:dyDescent="0.35">
      <c r="A86" s="2" t="s">
        <v>460</v>
      </c>
      <c r="B86" s="2">
        <v>1049</v>
      </c>
      <c r="C86" s="2">
        <v>1004</v>
      </c>
      <c r="D86" s="2">
        <v>0</v>
      </c>
      <c r="E86" s="2">
        <v>0</v>
      </c>
      <c r="F86" s="2">
        <v>45</v>
      </c>
      <c r="G86" s="2">
        <v>0</v>
      </c>
      <c r="H86" s="2" t="s">
        <v>425</v>
      </c>
      <c r="I86" s="2" t="s">
        <v>11</v>
      </c>
      <c r="J86" s="3">
        <f t="shared" si="1"/>
        <v>4.2897998093422304E-2</v>
      </c>
    </row>
    <row r="87" spans="1:10" x14ac:dyDescent="0.35">
      <c r="A87" s="2" t="s">
        <v>461</v>
      </c>
      <c r="B87" s="2">
        <v>1049</v>
      </c>
      <c r="C87" s="2">
        <v>1003</v>
      </c>
      <c r="D87" s="2">
        <v>0</v>
      </c>
      <c r="E87" s="2">
        <v>0</v>
      </c>
      <c r="F87" s="2">
        <v>46</v>
      </c>
      <c r="G87" s="2">
        <v>0</v>
      </c>
      <c r="H87" s="2" t="s">
        <v>386</v>
      </c>
      <c r="I87" s="2" t="s">
        <v>11</v>
      </c>
      <c r="J87" s="3">
        <f t="shared" si="1"/>
        <v>4.38512869399428E-2</v>
      </c>
    </row>
    <row r="88" spans="1:10" x14ac:dyDescent="0.35">
      <c r="A88" s="2" t="s">
        <v>462</v>
      </c>
      <c r="B88" s="2">
        <v>1049</v>
      </c>
      <c r="C88" s="2">
        <v>993</v>
      </c>
      <c r="D88" s="2">
        <v>1</v>
      </c>
      <c r="E88" s="2">
        <v>0</v>
      </c>
      <c r="F88" s="2">
        <v>55</v>
      </c>
      <c r="G88" s="2">
        <v>0</v>
      </c>
      <c r="H88" s="2" t="s">
        <v>393</v>
      </c>
      <c r="I88" s="2" t="s">
        <v>11</v>
      </c>
      <c r="J88" s="3">
        <f t="shared" si="1"/>
        <v>5.3384175405147762E-2</v>
      </c>
    </row>
    <row r="89" spans="1:10" x14ac:dyDescent="0.35">
      <c r="A89" s="2" t="s">
        <v>463</v>
      </c>
      <c r="B89" s="2">
        <v>1049</v>
      </c>
      <c r="C89" s="2">
        <v>987</v>
      </c>
      <c r="D89" s="2">
        <v>1</v>
      </c>
      <c r="E89" s="2">
        <v>0</v>
      </c>
      <c r="F89" s="2">
        <v>61</v>
      </c>
      <c r="G89" s="2">
        <v>0</v>
      </c>
      <c r="H89" s="2" t="s">
        <v>242</v>
      </c>
      <c r="I89" s="2" t="s">
        <v>11</v>
      </c>
      <c r="J89" s="3">
        <f t="shared" si="1"/>
        <v>5.9103908484270731E-2</v>
      </c>
    </row>
    <row r="90" spans="1:10" x14ac:dyDescent="0.35">
      <c r="A90" s="2" t="s">
        <v>464</v>
      </c>
      <c r="B90" s="2">
        <v>1049</v>
      </c>
      <c r="C90" s="2">
        <v>985</v>
      </c>
      <c r="D90" s="2">
        <v>1</v>
      </c>
      <c r="E90" s="2">
        <v>0</v>
      </c>
      <c r="F90" s="2">
        <v>63</v>
      </c>
      <c r="G90" s="2">
        <v>0</v>
      </c>
      <c r="H90" s="2" t="s">
        <v>244</v>
      </c>
      <c r="I90" s="2" t="s">
        <v>11</v>
      </c>
      <c r="J90" s="3">
        <f t="shared" si="1"/>
        <v>6.1010486177311724E-2</v>
      </c>
    </row>
    <row r="91" spans="1:10" x14ac:dyDescent="0.35">
      <c r="A91" s="2" t="s">
        <v>465</v>
      </c>
      <c r="B91" s="2">
        <v>1049</v>
      </c>
      <c r="C91" s="2">
        <v>995</v>
      </c>
      <c r="D91" s="2">
        <v>0</v>
      </c>
      <c r="E91" s="2">
        <v>0</v>
      </c>
      <c r="F91" s="2">
        <v>54</v>
      </c>
      <c r="G91" s="2">
        <v>0</v>
      </c>
      <c r="H91" s="2" t="s">
        <v>241</v>
      </c>
      <c r="I91" s="2" t="s">
        <v>11</v>
      </c>
      <c r="J91" s="3">
        <f t="shared" si="1"/>
        <v>5.1477597712106769E-2</v>
      </c>
    </row>
    <row r="92" spans="1:10" x14ac:dyDescent="0.35">
      <c r="A92" s="2" t="s">
        <v>652</v>
      </c>
      <c r="J92">
        <f>AVERAGE(J2:J91)</f>
        <v>5.1318716237686662E-2</v>
      </c>
    </row>
    <row r="93" spans="1:10" x14ac:dyDescent="0.35">
      <c r="A93" s="2" t="s">
        <v>653</v>
      </c>
      <c r="J93" s="5">
        <f>MEDIAN(J2:J91)</f>
        <v>5.1000953288846518E-2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3"/>
  <sheetViews>
    <sheetView workbookViewId="0">
      <pane xSplit="1" ySplit="1" topLeftCell="E69" activePane="bottomRight" state="frozen"/>
      <selection pane="topRight"/>
      <selection pane="bottomLeft"/>
      <selection pane="bottomRight" activeCell="J2" sqref="J2:J91"/>
    </sheetView>
  </sheetViews>
  <sheetFormatPr defaultRowHeight="14.5" x14ac:dyDescent="0.35"/>
  <cols>
    <col min="1" max="1" width="32" customWidth="1"/>
    <col min="2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354</v>
      </c>
      <c r="B2" s="2">
        <v>1015</v>
      </c>
      <c r="C2" s="2">
        <v>985</v>
      </c>
      <c r="D2" s="2">
        <v>4</v>
      </c>
      <c r="E2" s="2">
        <v>0</v>
      </c>
      <c r="F2" s="2">
        <v>26</v>
      </c>
      <c r="G2" s="2">
        <v>0</v>
      </c>
      <c r="H2" s="2" t="s">
        <v>466</v>
      </c>
      <c r="I2" s="2" t="s">
        <v>11</v>
      </c>
      <c r="J2" s="3">
        <f>(D2+E2+F2)/B2</f>
        <v>2.9556650246305417E-2</v>
      </c>
    </row>
    <row r="3" spans="1:10" x14ac:dyDescent="0.35">
      <c r="A3" s="2" t="s">
        <v>356</v>
      </c>
      <c r="B3" s="2">
        <v>1015</v>
      </c>
      <c r="C3" s="2">
        <v>880</v>
      </c>
      <c r="D3" s="2">
        <v>0</v>
      </c>
      <c r="E3" s="2">
        <v>0</v>
      </c>
      <c r="F3" s="2">
        <v>135</v>
      </c>
      <c r="G3" s="2">
        <v>0</v>
      </c>
      <c r="H3" s="2" t="s">
        <v>467</v>
      </c>
      <c r="I3" s="2" t="s">
        <v>11</v>
      </c>
      <c r="J3" s="3">
        <f t="shared" ref="J3:J66" si="0">(D3+E3+F3)/B3</f>
        <v>0.13300492610837439</v>
      </c>
    </row>
    <row r="4" spans="1:10" x14ac:dyDescent="0.35">
      <c r="A4" s="2" t="s">
        <v>357</v>
      </c>
      <c r="B4" s="2">
        <v>1015</v>
      </c>
      <c r="C4" s="2">
        <v>853</v>
      </c>
      <c r="D4" s="2">
        <v>1</v>
      </c>
      <c r="E4" s="2">
        <v>0</v>
      </c>
      <c r="F4" s="2">
        <v>161</v>
      </c>
      <c r="G4" s="2">
        <v>0</v>
      </c>
      <c r="H4" s="2" t="s">
        <v>468</v>
      </c>
      <c r="I4" s="2" t="s">
        <v>11</v>
      </c>
      <c r="J4" s="3">
        <f t="shared" si="0"/>
        <v>0.15960591133004925</v>
      </c>
    </row>
    <row r="5" spans="1:10" x14ac:dyDescent="0.35">
      <c r="A5" s="2" t="s">
        <v>358</v>
      </c>
      <c r="B5" s="2">
        <v>1015</v>
      </c>
      <c r="C5" s="2">
        <v>944</v>
      </c>
      <c r="D5" s="2">
        <v>1</v>
      </c>
      <c r="E5" s="2">
        <v>0</v>
      </c>
      <c r="F5" s="2">
        <v>70</v>
      </c>
      <c r="G5" s="2">
        <v>0</v>
      </c>
      <c r="H5" s="2" t="s">
        <v>469</v>
      </c>
      <c r="I5" s="2" t="s">
        <v>11</v>
      </c>
      <c r="J5" s="3">
        <f t="shared" si="0"/>
        <v>6.9950738916256153E-2</v>
      </c>
    </row>
    <row r="6" spans="1:10" x14ac:dyDescent="0.35">
      <c r="A6" s="2" t="s">
        <v>359</v>
      </c>
      <c r="B6" s="2">
        <v>1015</v>
      </c>
      <c r="C6" s="2">
        <v>886</v>
      </c>
      <c r="D6" s="2">
        <v>4</v>
      </c>
      <c r="E6" s="2">
        <v>0</v>
      </c>
      <c r="F6" s="2">
        <v>125</v>
      </c>
      <c r="G6" s="2">
        <v>0</v>
      </c>
      <c r="H6" s="2" t="s">
        <v>470</v>
      </c>
      <c r="I6" s="2" t="s">
        <v>11</v>
      </c>
      <c r="J6" s="3">
        <f t="shared" si="0"/>
        <v>0.1270935960591133</v>
      </c>
    </row>
    <row r="7" spans="1:10" x14ac:dyDescent="0.35">
      <c r="A7" s="2" t="s">
        <v>361</v>
      </c>
      <c r="B7" s="2">
        <v>1015</v>
      </c>
      <c r="C7" s="2">
        <v>893</v>
      </c>
      <c r="D7" s="2">
        <v>4</v>
      </c>
      <c r="E7" s="2">
        <v>0</v>
      </c>
      <c r="F7" s="2">
        <v>118</v>
      </c>
      <c r="G7" s="2">
        <v>0</v>
      </c>
      <c r="H7" s="2" t="s">
        <v>471</v>
      </c>
      <c r="I7" s="2" t="s">
        <v>11</v>
      </c>
      <c r="J7" s="3">
        <f t="shared" si="0"/>
        <v>0.12019704433497537</v>
      </c>
    </row>
    <row r="8" spans="1:10" x14ac:dyDescent="0.35">
      <c r="A8" s="2" t="s">
        <v>363</v>
      </c>
      <c r="B8" s="2">
        <v>1015</v>
      </c>
      <c r="C8" s="2">
        <v>898</v>
      </c>
      <c r="D8" s="2">
        <v>0</v>
      </c>
      <c r="E8" s="2">
        <v>0</v>
      </c>
      <c r="F8" s="2">
        <v>117</v>
      </c>
      <c r="G8" s="2">
        <v>0</v>
      </c>
      <c r="H8" s="2" t="s">
        <v>146</v>
      </c>
      <c r="I8" s="2" t="s">
        <v>11</v>
      </c>
      <c r="J8" s="3">
        <f t="shared" si="0"/>
        <v>0.11527093596059114</v>
      </c>
    </row>
    <row r="9" spans="1:10" x14ac:dyDescent="0.35">
      <c r="A9" s="2" t="s">
        <v>365</v>
      </c>
      <c r="B9" s="2">
        <v>1015</v>
      </c>
      <c r="C9" s="2">
        <v>880</v>
      </c>
      <c r="D9" s="2">
        <v>0</v>
      </c>
      <c r="E9" s="2">
        <v>0</v>
      </c>
      <c r="F9" s="2">
        <v>135</v>
      </c>
      <c r="G9" s="2">
        <v>0</v>
      </c>
      <c r="H9" s="2" t="s">
        <v>467</v>
      </c>
      <c r="I9" s="2" t="s">
        <v>11</v>
      </c>
      <c r="J9" s="3">
        <f t="shared" si="0"/>
        <v>0.13300492610837439</v>
      </c>
    </row>
    <row r="10" spans="1:10" x14ac:dyDescent="0.35">
      <c r="A10" s="2" t="s">
        <v>366</v>
      </c>
      <c r="B10" s="2">
        <v>1015</v>
      </c>
      <c r="C10" s="2">
        <v>861</v>
      </c>
      <c r="D10" s="2">
        <v>3</v>
      </c>
      <c r="E10" s="2">
        <v>0</v>
      </c>
      <c r="F10" s="2">
        <v>151</v>
      </c>
      <c r="G10" s="2">
        <v>0</v>
      </c>
      <c r="H10" s="2" t="s">
        <v>472</v>
      </c>
      <c r="I10" s="2" t="s">
        <v>11</v>
      </c>
      <c r="J10" s="3">
        <f t="shared" si="0"/>
        <v>0.15172413793103448</v>
      </c>
    </row>
    <row r="11" spans="1:10" x14ac:dyDescent="0.35">
      <c r="A11" s="2" t="s">
        <v>368</v>
      </c>
      <c r="B11" s="2">
        <v>1015</v>
      </c>
      <c r="C11" s="2">
        <v>573</v>
      </c>
      <c r="D11" s="2">
        <v>0</v>
      </c>
      <c r="E11" s="2">
        <v>0</v>
      </c>
      <c r="F11" s="2">
        <v>442</v>
      </c>
      <c r="G11" s="2">
        <v>0</v>
      </c>
      <c r="H11" s="2" t="s">
        <v>473</v>
      </c>
      <c r="I11" s="2" t="s">
        <v>11</v>
      </c>
      <c r="J11" s="3">
        <f t="shared" si="0"/>
        <v>0.43546798029556649</v>
      </c>
    </row>
    <row r="12" spans="1:10" x14ac:dyDescent="0.35">
      <c r="A12" s="2" t="s">
        <v>370</v>
      </c>
      <c r="B12" s="2">
        <v>1015</v>
      </c>
      <c r="C12" s="2">
        <v>837</v>
      </c>
      <c r="D12" s="2">
        <v>1</v>
      </c>
      <c r="E12" s="2">
        <v>0</v>
      </c>
      <c r="F12" s="2">
        <v>177</v>
      </c>
      <c r="G12" s="2">
        <v>0</v>
      </c>
      <c r="H12" s="2" t="s">
        <v>474</v>
      </c>
      <c r="I12" s="2" t="s">
        <v>11</v>
      </c>
      <c r="J12" s="3">
        <f t="shared" si="0"/>
        <v>0.17536945812807883</v>
      </c>
    </row>
    <row r="13" spans="1:10" x14ac:dyDescent="0.35">
      <c r="A13" s="2" t="s">
        <v>372</v>
      </c>
      <c r="B13" s="2">
        <v>1015</v>
      </c>
      <c r="C13" s="2">
        <v>949</v>
      </c>
      <c r="D13" s="2">
        <v>0</v>
      </c>
      <c r="E13" s="2">
        <v>0</v>
      </c>
      <c r="F13" s="2">
        <v>66</v>
      </c>
      <c r="G13" s="2">
        <v>0</v>
      </c>
      <c r="H13" s="2" t="s">
        <v>475</v>
      </c>
      <c r="I13" s="2" t="s">
        <v>11</v>
      </c>
      <c r="J13" s="3">
        <f t="shared" si="0"/>
        <v>6.5024630541871922E-2</v>
      </c>
    </row>
    <row r="14" spans="1:10" x14ac:dyDescent="0.35">
      <c r="A14" s="2" t="s">
        <v>374</v>
      </c>
      <c r="B14" s="2">
        <v>1015</v>
      </c>
      <c r="C14" s="2">
        <v>924</v>
      </c>
      <c r="D14" s="2">
        <v>1</v>
      </c>
      <c r="E14" s="2">
        <v>0</v>
      </c>
      <c r="F14" s="2">
        <v>90</v>
      </c>
      <c r="G14" s="2">
        <v>0</v>
      </c>
      <c r="H14" s="2" t="s">
        <v>476</v>
      </c>
      <c r="I14" s="2" t="s">
        <v>11</v>
      </c>
      <c r="J14" s="3">
        <f t="shared" si="0"/>
        <v>8.9655172413793102E-2</v>
      </c>
    </row>
    <row r="15" spans="1:10" x14ac:dyDescent="0.35">
      <c r="A15" s="2" t="s">
        <v>376</v>
      </c>
      <c r="B15" s="2">
        <v>1015</v>
      </c>
      <c r="C15" s="2">
        <v>879</v>
      </c>
      <c r="D15" s="2">
        <v>2</v>
      </c>
      <c r="E15" s="2">
        <v>0</v>
      </c>
      <c r="F15" s="2">
        <v>134</v>
      </c>
      <c r="G15" s="2">
        <v>0</v>
      </c>
      <c r="H15" s="2" t="s">
        <v>328</v>
      </c>
      <c r="I15" s="2" t="s">
        <v>11</v>
      </c>
      <c r="J15" s="3">
        <f t="shared" si="0"/>
        <v>0.13399014778325122</v>
      </c>
    </row>
    <row r="16" spans="1:10" x14ac:dyDescent="0.35">
      <c r="A16" s="2" t="s">
        <v>377</v>
      </c>
      <c r="B16" s="2">
        <v>1015</v>
      </c>
      <c r="C16" s="2">
        <v>911</v>
      </c>
      <c r="D16" s="2">
        <v>0</v>
      </c>
      <c r="E16" s="2">
        <v>0</v>
      </c>
      <c r="F16" s="2">
        <v>104</v>
      </c>
      <c r="G16" s="2">
        <v>0</v>
      </c>
      <c r="H16" s="2" t="s">
        <v>477</v>
      </c>
      <c r="I16" s="2" t="s">
        <v>11</v>
      </c>
      <c r="J16" s="3">
        <f t="shared" si="0"/>
        <v>0.10246305418719212</v>
      </c>
    </row>
    <row r="17" spans="1:10" x14ac:dyDescent="0.35">
      <c r="A17" s="2" t="s">
        <v>379</v>
      </c>
      <c r="B17" s="2">
        <v>1015</v>
      </c>
      <c r="C17" s="2">
        <v>965</v>
      </c>
      <c r="D17" s="2">
        <v>0</v>
      </c>
      <c r="E17" s="2">
        <v>0</v>
      </c>
      <c r="F17" s="2">
        <v>50</v>
      </c>
      <c r="G17" s="2">
        <v>0</v>
      </c>
      <c r="H17" s="2" t="s">
        <v>478</v>
      </c>
      <c r="I17" s="2" t="s">
        <v>11</v>
      </c>
      <c r="J17" s="3">
        <f t="shared" si="0"/>
        <v>4.9261083743842367E-2</v>
      </c>
    </row>
    <row r="18" spans="1:10" x14ac:dyDescent="0.35">
      <c r="A18" s="2" t="s">
        <v>380</v>
      </c>
      <c r="B18" s="2">
        <v>1015</v>
      </c>
      <c r="C18" s="2">
        <v>956</v>
      </c>
      <c r="D18" s="2">
        <v>0</v>
      </c>
      <c r="E18" s="2">
        <v>0</v>
      </c>
      <c r="F18" s="2">
        <v>59</v>
      </c>
      <c r="G18" s="2">
        <v>0</v>
      </c>
      <c r="H18" s="2" t="s">
        <v>245</v>
      </c>
      <c r="I18" s="2" t="s">
        <v>11</v>
      </c>
      <c r="J18" s="3">
        <f t="shared" si="0"/>
        <v>5.8128078817733991E-2</v>
      </c>
    </row>
    <row r="19" spans="1:10" x14ac:dyDescent="0.35">
      <c r="A19" s="2" t="s">
        <v>381</v>
      </c>
      <c r="B19" s="2">
        <v>1015</v>
      </c>
      <c r="C19" s="2">
        <v>939</v>
      </c>
      <c r="D19" s="2">
        <v>1</v>
      </c>
      <c r="E19" s="2">
        <v>0</v>
      </c>
      <c r="F19" s="2">
        <v>75</v>
      </c>
      <c r="G19" s="2">
        <v>0</v>
      </c>
      <c r="H19" s="2" t="s">
        <v>479</v>
      </c>
      <c r="I19" s="2" t="s">
        <v>11</v>
      </c>
      <c r="J19" s="3">
        <f t="shared" si="0"/>
        <v>7.4876847290640397E-2</v>
      </c>
    </row>
    <row r="20" spans="1:10" x14ac:dyDescent="0.35">
      <c r="A20" s="2" t="s">
        <v>382</v>
      </c>
      <c r="B20" s="2">
        <v>1015</v>
      </c>
      <c r="C20" s="2">
        <v>917</v>
      </c>
      <c r="D20" s="2">
        <v>1</v>
      </c>
      <c r="E20" s="2">
        <v>0</v>
      </c>
      <c r="F20" s="2">
        <v>97</v>
      </c>
      <c r="G20" s="2">
        <v>0</v>
      </c>
      <c r="H20" s="2" t="s">
        <v>480</v>
      </c>
      <c r="I20" s="2" t="s">
        <v>11</v>
      </c>
      <c r="J20" s="3">
        <f t="shared" si="0"/>
        <v>9.6551724137931033E-2</v>
      </c>
    </row>
    <row r="21" spans="1:10" x14ac:dyDescent="0.35">
      <c r="A21" s="2" t="s">
        <v>383</v>
      </c>
      <c r="B21" s="2">
        <v>1015</v>
      </c>
      <c r="C21" s="2">
        <v>915</v>
      </c>
      <c r="D21" s="2">
        <v>2</v>
      </c>
      <c r="E21" s="2">
        <v>0</v>
      </c>
      <c r="F21" s="2">
        <v>98</v>
      </c>
      <c r="G21" s="2">
        <v>0</v>
      </c>
      <c r="H21" s="2" t="s">
        <v>481</v>
      </c>
      <c r="I21" s="2" t="s">
        <v>11</v>
      </c>
      <c r="J21" s="3">
        <f t="shared" si="0"/>
        <v>9.8522167487684734E-2</v>
      </c>
    </row>
    <row r="22" spans="1:10" x14ac:dyDescent="0.35">
      <c r="A22" s="2" t="s">
        <v>384</v>
      </c>
      <c r="B22" s="2">
        <v>1015</v>
      </c>
      <c r="C22" s="2">
        <v>943</v>
      </c>
      <c r="D22" s="2">
        <v>1</v>
      </c>
      <c r="E22" s="2">
        <v>0</v>
      </c>
      <c r="F22" s="2">
        <v>71</v>
      </c>
      <c r="G22" s="2">
        <v>0</v>
      </c>
      <c r="H22" s="2" t="s">
        <v>285</v>
      </c>
      <c r="I22" s="2" t="s">
        <v>11</v>
      </c>
      <c r="J22" s="3">
        <f t="shared" si="0"/>
        <v>7.093596059113301E-2</v>
      </c>
    </row>
    <row r="23" spans="1:10" x14ac:dyDescent="0.35">
      <c r="A23" s="2" t="s">
        <v>385</v>
      </c>
      <c r="B23" s="2">
        <v>1015</v>
      </c>
      <c r="C23" s="2">
        <v>962</v>
      </c>
      <c r="D23" s="2">
        <v>0</v>
      </c>
      <c r="E23" s="2">
        <v>0</v>
      </c>
      <c r="F23" s="2">
        <v>53</v>
      </c>
      <c r="G23" s="2">
        <v>0</v>
      </c>
      <c r="H23" s="2" t="s">
        <v>218</v>
      </c>
      <c r="I23" s="2" t="s">
        <v>11</v>
      </c>
      <c r="J23" s="3">
        <f t="shared" si="0"/>
        <v>5.2216748768472904E-2</v>
      </c>
    </row>
    <row r="24" spans="1:10" x14ac:dyDescent="0.35">
      <c r="A24" s="2" t="s">
        <v>387</v>
      </c>
      <c r="B24" s="2">
        <v>1015</v>
      </c>
      <c r="C24" s="2">
        <v>841</v>
      </c>
      <c r="D24" s="2">
        <v>0</v>
      </c>
      <c r="E24" s="2">
        <v>0</v>
      </c>
      <c r="F24" s="2">
        <v>174</v>
      </c>
      <c r="G24" s="2">
        <v>0</v>
      </c>
      <c r="H24" s="2" t="s">
        <v>482</v>
      </c>
      <c r="I24" s="2" t="s">
        <v>11</v>
      </c>
      <c r="J24" s="3">
        <f t="shared" si="0"/>
        <v>0.17142857142857143</v>
      </c>
    </row>
    <row r="25" spans="1:10" x14ac:dyDescent="0.35">
      <c r="A25" s="2" t="s">
        <v>388</v>
      </c>
      <c r="B25" s="2">
        <v>1015</v>
      </c>
      <c r="C25" s="2">
        <v>945</v>
      </c>
      <c r="D25" s="2">
        <v>0</v>
      </c>
      <c r="E25" s="2">
        <v>0</v>
      </c>
      <c r="F25" s="2">
        <v>70</v>
      </c>
      <c r="G25" s="2">
        <v>0</v>
      </c>
      <c r="H25" s="2" t="s">
        <v>483</v>
      </c>
      <c r="I25" s="2" t="s">
        <v>11</v>
      </c>
      <c r="J25" s="3">
        <f t="shared" si="0"/>
        <v>6.8965517241379309E-2</v>
      </c>
    </row>
    <row r="26" spans="1:10" x14ac:dyDescent="0.35">
      <c r="A26" s="2" t="s">
        <v>390</v>
      </c>
      <c r="B26" s="2">
        <v>1015</v>
      </c>
      <c r="C26" s="2">
        <v>923</v>
      </c>
      <c r="D26" s="2">
        <v>2</v>
      </c>
      <c r="E26" s="2">
        <v>0</v>
      </c>
      <c r="F26" s="2">
        <v>90</v>
      </c>
      <c r="G26" s="2">
        <v>0</v>
      </c>
      <c r="H26" s="2" t="s">
        <v>484</v>
      </c>
      <c r="I26" s="2" t="s">
        <v>11</v>
      </c>
      <c r="J26" s="3">
        <f t="shared" si="0"/>
        <v>9.0640394088669946E-2</v>
      </c>
    </row>
    <row r="27" spans="1:10" x14ac:dyDescent="0.35">
      <c r="A27" s="2" t="s">
        <v>391</v>
      </c>
      <c r="B27" s="2">
        <v>1015</v>
      </c>
      <c r="C27" s="2">
        <v>930</v>
      </c>
      <c r="D27" s="2">
        <v>2</v>
      </c>
      <c r="E27" s="2">
        <v>0</v>
      </c>
      <c r="F27" s="2">
        <v>83</v>
      </c>
      <c r="G27" s="2">
        <v>0</v>
      </c>
      <c r="H27" s="2" t="s">
        <v>485</v>
      </c>
      <c r="I27" s="2" t="s">
        <v>11</v>
      </c>
      <c r="J27" s="3">
        <f t="shared" si="0"/>
        <v>8.3743842364532015E-2</v>
      </c>
    </row>
    <row r="28" spans="1:10" x14ac:dyDescent="0.35">
      <c r="A28" s="2" t="s">
        <v>392</v>
      </c>
      <c r="B28" s="2">
        <v>1015</v>
      </c>
      <c r="C28" s="2">
        <v>941</v>
      </c>
      <c r="D28" s="2">
        <v>2</v>
      </c>
      <c r="E28" s="2">
        <v>0</v>
      </c>
      <c r="F28" s="2">
        <v>72</v>
      </c>
      <c r="G28" s="2">
        <v>0</v>
      </c>
      <c r="H28" s="2" t="s">
        <v>486</v>
      </c>
      <c r="I28" s="2" t="s">
        <v>11</v>
      </c>
      <c r="J28" s="3">
        <f t="shared" si="0"/>
        <v>7.2906403940886697E-2</v>
      </c>
    </row>
    <row r="29" spans="1:10" x14ac:dyDescent="0.35">
      <c r="A29" s="2" t="s">
        <v>394</v>
      </c>
      <c r="B29" s="2">
        <v>1015</v>
      </c>
      <c r="C29" s="2">
        <v>702</v>
      </c>
      <c r="D29" s="2">
        <v>0</v>
      </c>
      <c r="E29" s="2">
        <v>0</v>
      </c>
      <c r="F29" s="2">
        <v>313</v>
      </c>
      <c r="G29" s="2">
        <v>0</v>
      </c>
      <c r="H29" s="2" t="s">
        <v>487</v>
      </c>
      <c r="I29" s="2" t="s">
        <v>11</v>
      </c>
      <c r="J29" s="3">
        <f t="shared" si="0"/>
        <v>0.30837438423645319</v>
      </c>
    </row>
    <row r="30" spans="1:10" x14ac:dyDescent="0.35">
      <c r="A30" s="2" t="s">
        <v>395</v>
      </c>
      <c r="B30" s="2">
        <v>1015</v>
      </c>
      <c r="C30" s="2">
        <v>912</v>
      </c>
      <c r="D30" s="2">
        <v>0</v>
      </c>
      <c r="E30" s="2">
        <v>0</v>
      </c>
      <c r="F30" s="2">
        <v>103</v>
      </c>
      <c r="G30" s="2">
        <v>0</v>
      </c>
      <c r="H30" s="2" t="s">
        <v>488</v>
      </c>
      <c r="I30" s="2" t="s">
        <v>11</v>
      </c>
      <c r="J30" s="3">
        <f t="shared" si="0"/>
        <v>0.10147783251231528</v>
      </c>
    </row>
    <row r="31" spans="1:10" x14ac:dyDescent="0.35">
      <c r="A31" s="2" t="s">
        <v>396</v>
      </c>
      <c r="B31" s="2">
        <v>1015</v>
      </c>
      <c r="C31" s="2">
        <v>930</v>
      </c>
      <c r="D31" s="2">
        <v>0</v>
      </c>
      <c r="E31" s="2">
        <v>0</v>
      </c>
      <c r="F31" s="2">
        <v>85</v>
      </c>
      <c r="G31" s="2">
        <v>0</v>
      </c>
      <c r="H31" s="2" t="s">
        <v>485</v>
      </c>
      <c r="I31" s="2" t="s">
        <v>11</v>
      </c>
      <c r="J31" s="3">
        <f t="shared" si="0"/>
        <v>8.3743842364532015E-2</v>
      </c>
    </row>
    <row r="32" spans="1:10" x14ac:dyDescent="0.35">
      <c r="A32" s="2" t="s">
        <v>397</v>
      </c>
      <c r="B32" s="2">
        <v>1015</v>
      </c>
      <c r="C32" s="2">
        <v>926</v>
      </c>
      <c r="D32" s="2">
        <v>1</v>
      </c>
      <c r="E32" s="2">
        <v>0</v>
      </c>
      <c r="F32" s="2">
        <v>88</v>
      </c>
      <c r="G32" s="2">
        <v>0</v>
      </c>
      <c r="H32" s="2" t="s">
        <v>489</v>
      </c>
      <c r="I32" s="2" t="s">
        <v>11</v>
      </c>
      <c r="J32" s="3">
        <f t="shared" si="0"/>
        <v>8.7684729064039416E-2</v>
      </c>
    </row>
    <row r="33" spans="1:10" x14ac:dyDescent="0.35">
      <c r="A33" s="2" t="s">
        <v>398</v>
      </c>
      <c r="B33" s="2">
        <v>1015</v>
      </c>
      <c r="C33" s="2">
        <v>910</v>
      </c>
      <c r="D33" s="2">
        <v>2</v>
      </c>
      <c r="E33" s="2">
        <v>0</v>
      </c>
      <c r="F33" s="2">
        <v>103</v>
      </c>
      <c r="G33" s="2">
        <v>0</v>
      </c>
      <c r="H33" s="2" t="s">
        <v>177</v>
      </c>
      <c r="I33" s="2" t="s">
        <v>11</v>
      </c>
      <c r="J33" s="3">
        <f t="shared" si="0"/>
        <v>0.10344827586206896</v>
      </c>
    </row>
    <row r="34" spans="1:10" x14ac:dyDescent="0.35">
      <c r="A34" s="2" t="s">
        <v>399</v>
      </c>
      <c r="B34" s="2">
        <v>1015</v>
      </c>
      <c r="C34" s="2">
        <v>966</v>
      </c>
      <c r="D34" s="2">
        <v>2</v>
      </c>
      <c r="E34" s="2">
        <v>0</v>
      </c>
      <c r="F34" s="2">
        <v>47</v>
      </c>
      <c r="G34" s="2">
        <v>0</v>
      </c>
      <c r="H34" s="2" t="s">
        <v>490</v>
      </c>
      <c r="I34" s="2" t="s">
        <v>11</v>
      </c>
      <c r="J34" s="3">
        <f t="shared" si="0"/>
        <v>4.8275862068965517E-2</v>
      </c>
    </row>
    <row r="35" spans="1:10" x14ac:dyDescent="0.35">
      <c r="A35" s="2" t="s">
        <v>400</v>
      </c>
      <c r="B35" s="2">
        <v>1015</v>
      </c>
      <c r="C35" s="2">
        <v>906</v>
      </c>
      <c r="D35" s="2">
        <v>1</v>
      </c>
      <c r="E35" s="2">
        <v>0</v>
      </c>
      <c r="F35" s="2">
        <v>108</v>
      </c>
      <c r="G35" s="2">
        <v>0</v>
      </c>
      <c r="H35" s="2" t="s">
        <v>303</v>
      </c>
      <c r="I35" s="2" t="s">
        <v>11</v>
      </c>
      <c r="J35" s="3">
        <f t="shared" si="0"/>
        <v>0.10738916256157635</v>
      </c>
    </row>
    <row r="36" spans="1:10" x14ac:dyDescent="0.35">
      <c r="A36" s="2" t="s">
        <v>401</v>
      </c>
      <c r="B36" s="2">
        <v>1015</v>
      </c>
      <c r="C36" s="2">
        <v>706</v>
      </c>
      <c r="D36" s="2">
        <v>0</v>
      </c>
      <c r="E36" s="2">
        <v>0</v>
      </c>
      <c r="F36" s="2">
        <v>309</v>
      </c>
      <c r="G36" s="2">
        <v>0</v>
      </c>
      <c r="H36" s="2" t="s">
        <v>491</v>
      </c>
      <c r="I36" s="2" t="s">
        <v>11</v>
      </c>
      <c r="J36" s="3">
        <f t="shared" si="0"/>
        <v>0.30443349753694582</v>
      </c>
    </row>
    <row r="37" spans="1:10" x14ac:dyDescent="0.35">
      <c r="A37" s="2" t="s">
        <v>403</v>
      </c>
      <c r="B37" s="2">
        <v>1015</v>
      </c>
      <c r="C37" s="2">
        <v>917</v>
      </c>
      <c r="D37" s="2">
        <v>2</v>
      </c>
      <c r="E37" s="2">
        <v>0</v>
      </c>
      <c r="F37" s="2">
        <v>96</v>
      </c>
      <c r="G37" s="2">
        <v>0</v>
      </c>
      <c r="H37" s="2" t="s">
        <v>480</v>
      </c>
      <c r="I37" s="2" t="s">
        <v>11</v>
      </c>
      <c r="J37" s="3">
        <f t="shared" si="0"/>
        <v>9.6551724137931033E-2</v>
      </c>
    </row>
    <row r="38" spans="1:10" x14ac:dyDescent="0.35">
      <c r="A38" s="2" t="s">
        <v>404</v>
      </c>
      <c r="B38" s="2">
        <v>1015</v>
      </c>
      <c r="C38" s="2">
        <v>869</v>
      </c>
      <c r="D38" s="2">
        <v>0</v>
      </c>
      <c r="E38" s="2">
        <v>0</v>
      </c>
      <c r="F38" s="2">
        <v>146</v>
      </c>
      <c r="G38" s="2">
        <v>0</v>
      </c>
      <c r="H38" s="2" t="s">
        <v>492</v>
      </c>
      <c r="I38" s="2" t="s">
        <v>11</v>
      </c>
      <c r="J38" s="3">
        <f t="shared" si="0"/>
        <v>0.14384236453201971</v>
      </c>
    </row>
    <row r="39" spans="1:10" x14ac:dyDescent="0.35">
      <c r="A39" s="2" t="s">
        <v>405</v>
      </c>
      <c r="B39" s="2">
        <v>1015</v>
      </c>
      <c r="C39" s="2">
        <v>918</v>
      </c>
      <c r="D39" s="2">
        <v>2</v>
      </c>
      <c r="E39" s="2">
        <v>0</v>
      </c>
      <c r="F39" s="2">
        <v>95</v>
      </c>
      <c r="G39" s="2">
        <v>0</v>
      </c>
      <c r="H39" s="2" t="s">
        <v>493</v>
      </c>
      <c r="I39" s="2" t="s">
        <v>11</v>
      </c>
      <c r="J39" s="3">
        <f t="shared" si="0"/>
        <v>9.556650246305419E-2</v>
      </c>
    </row>
    <row r="40" spans="1:10" x14ac:dyDescent="0.35">
      <c r="A40" s="2" t="s">
        <v>406</v>
      </c>
      <c r="B40" s="2">
        <v>1015</v>
      </c>
      <c r="C40" s="2">
        <v>964</v>
      </c>
      <c r="D40" s="2">
        <v>1</v>
      </c>
      <c r="E40" s="2">
        <v>0</v>
      </c>
      <c r="F40" s="2">
        <v>50</v>
      </c>
      <c r="G40" s="2">
        <v>0</v>
      </c>
      <c r="H40" s="2" t="s">
        <v>494</v>
      </c>
      <c r="I40" s="2" t="s">
        <v>11</v>
      </c>
      <c r="J40" s="3">
        <f t="shared" si="0"/>
        <v>5.024630541871921E-2</v>
      </c>
    </row>
    <row r="41" spans="1:10" x14ac:dyDescent="0.35">
      <c r="A41" s="2" t="s">
        <v>408</v>
      </c>
      <c r="B41" s="2">
        <v>1015</v>
      </c>
      <c r="C41" s="2">
        <v>936</v>
      </c>
      <c r="D41" s="2">
        <v>1</v>
      </c>
      <c r="E41" s="2">
        <v>0</v>
      </c>
      <c r="F41" s="2">
        <v>78</v>
      </c>
      <c r="G41" s="2">
        <v>0</v>
      </c>
      <c r="H41" s="2" t="s">
        <v>495</v>
      </c>
      <c r="I41" s="2" t="s">
        <v>11</v>
      </c>
      <c r="J41" s="3">
        <f t="shared" si="0"/>
        <v>7.7832512315270941E-2</v>
      </c>
    </row>
    <row r="42" spans="1:10" x14ac:dyDescent="0.35">
      <c r="A42" s="2" t="s">
        <v>409</v>
      </c>
      <c r="B42" s="2">
        <v>1015</v>
      </c>
      <c r="C42" s="2">
        <v>770</v>
      </c>
      <c r="D42" s="2">
        <v>1</v>
      </c>
      <c r="E42" s="2">
        <v>0</v>
      </c>
      <c r="F42" s="2">
        <v>244</v>
      </c>
      <c r="G42" s="2">
        <v>0</v>
      </c>
      <c r="H42" s="2" t="s">
        <v>496</v>
      </c>
      <c r="I42" s="2" t="s">
        <v>11</v>
      </c>
      <c r="J42" s="3">
        <f t="shared" si="0"/>
        <v>0.2413793103448276</v>
      </c>
    </row>
    <row r="43" spans="1:10" x14ac:dyDescent="0.35">
      <c r="A43" s="2" t="s">
        <v>411</v>
      </c>
      <c r="B43" s="2">
        <v>1015</v>
      </c>
      <c r="C43" s="2">
        <v>951</v>
      </c>
      <c r="D43" s="2">
        <v>1</v>
      </c>
      <c r="E43" s="2">
        <v>0</v>
      </c>
      <c r="F43" s="2">
        <v>63</v>
      </c>
      <c r="G43" s="2">
        <v>0</v>
      </c>
      <c r="H43" s="2" t="s">
        <v>497</v>
      </c>
      <c r="I43" s="2" t="s">
        <v>11</v>
      </c>
      <c r="J43" s="3">
        <f t="shared" si="0"/>
        <v>6.3054187192118222E-2</v>
      </c>
    </row>
    <row r="44" spans="1:10" x14ac:dyDescent="0.35">
      <c r="A44" s="2" t="s">
        <v>412</v>
      </c>
      <c r="B44" s="2">
        <v>1015</v>
      </c>
      <c r="C44" s="2">
        <v>892</v>
      </c>
      <c r="D44" s="2">
        <v>2</v>
      </c>
      <c r="E44" s="2">
        <v>0</v>
      </c>
      <c r="F44" s="2">
        <v>121</v>
      </c>
      <c r="G44" s="2">
        <v>0</v>
      </c>
      <c r="H44" s="2" t="s">
        <v>498</v>
      </c>
      <c r="I44" s="2" t="s">
        <v>11</v>
      </c>
      <c r="J44" s="3">
        <f t="shared" si="0"/>
        <v>0.12118226600985221</v>
      </c>
    </row>
    <row r="45" spans="1:10" x14ac:dyDescent="0.35">
      <c r="A45" s="2" t="s">
        <v>413</v>
      </c>
      <c r="B45" s="2">
        <v>1015</v>
      </c>
      <c r="C45" s="2">
        <v>918</v>
      </c>
      <c r="D45" s="2">
        <v>1</v>
      </c>
      <c r="E45" s="2">
        <v>0</v>
      </c>
      <c r="F45" s="2">
        <v>96</v>
      </c>
      <c r="G45" s="2">
        <v>0</v>
      </c>
      <c r="H45" s="2" t="s">
        <v>493</v>
      </c>
      <c r="I45" s="2" t="s">
        <v>11</v>
      </c>
      <c r="J45" s="3">
        <f t="shared" si="0"/>
        <v>9.556650246305419E-2</v>
      </c>
    </row>
    <row r="46" spans="1:10" x14ac:dyDescent="0.35">
      <c r="A46" s="2" t="s">
        <v>414</v>
      </c>
      <c r="B46" s="2">
        <v>1015</v>
      </c>
      <c r="C46" s="2">
        <v>829</v>
      </c>
      <c r="D46" s="2">
        <v>0</v>
      </c>
      <c r="E46" s="2">
        <v>0</v>
      </c>
      <c r="F46" s="2">
        <v>186</v>
      </c>
      <c r="G46" s="2">
        <v>0</v>
      </c>
      <c r="H46" s="2" t="s">
        <v>499</v>
      </c>
      <c r="I46" s="2" t="s">
        <v>11</v>
      </c>
      <c r="J46" s="3">
        <f t="shared" si="0"/>
        <v>0.18325123152709361</v>
      </c>
    </row>
    <row r="47" spans="1:10" x14ac:dyDescent="0.35">
      <c r="A47" s="2" t="s">
        <v>415</v>
      </c>
      <c r="B47" s="2">
        <v>1015</v>
      </c>
      <c r="C47" s="2">
        <v>825</v>
      </c>
      <c r="D47" s="2">
        <v>0</v>
      </c>
      <c r="E47" s="2">
        <v>0</v>
      </c>
      <c r="F47" s="2">
        <v>190</v>
      </c>
      <c r="G47" s="2">
        <v>0</v>
      </c>
      <c r="H47" s="2" t="s">
        <v>500</v>
      </c>
      <c r="I47" s="2" t="s">
        <v>11</v>
      </c>
      <c r="J47" s="3">
        <f t="shared" si="0"/>
        <v>0.18719211822660098</v>
      </c>
    </row>
    <row r="48" spans="1:10" x14ac:dyDescent="0.35">
      <c r="A48" s="2" t="s">
        <v>416</v>
      </c>
      <c r="B48" s="2">
        <v>1015</v>
      </c>
      <c r="C48" s="2">
        <v>912</v>
      </c>
      <c r="D48" s="2">
        <v>0</v>
      </c>
      <c r="E48" s="2">
        <v>0</v>
      </c>
      <c r="F48" s="2">
        <v>103</v>
      </c>
      <c r="G48" s="2">
        <v>0</v>
      </c>
      <c r="H48" s="2" t="s">
        <v>488</v>
      </c>
      <c r="I48" s="2" t="s">
        <v>11</v>
      </c>
      <c r="J48" s="3">
        <f t="shared" si="0"/>
        <v>0.10147783251231528</v>
      </c>
    </row>
    <row r="49" spans="1:10" x14ac:dyDescent="0.35">
      <c r="A49" s="2" t="s">
        <v>417</v>
      </c>
      <c r="B49" s="2">
        <v>1015</v>
      </c>
      <c r="C49" s="2">
        <v>959</v>
      </c>
      <c r="D49" s="2">
        <v>1</v>
      </c>
      <c r="E49" s="2">
        <v>0</v>
      </c>
      <c r="F49" s="2">
        <v>55</v>
      </c>
      <c r="G49" s="2">
        <v>0</v>
      </c>
      <c r="H49" s="2" t="s">
        <v>501</v>
      </c>
      <c r="I49" s="2" t="s">
        <v>11</v>
      </c>
      <c r="J49" s="3">
        <f t="shared" si="0"/>
        <v>5.5172413793103448E-2</v>
      </c>
    </row>
    <row r="50" spans="1:10" x14ac:dyDescent="0.35">
      <c r="A50" s="2" t="s">
        <v>419</v>
      </c>
      <c r="B50" s="2">
        <v>1015</v>
      </c>
      <c r="C50" s="2">
        <v>924</v>
      </c>
      <c r="D50" s="2">
        <v>2</v>
      </c>
      <c r="E50" s="2">
        <v>0</v>
      </c>
      <c r="F50" s="2">
        <v>89</v>
      </c>
      <c r="G50" s="2">
        <v>0</v>
      </c>
      <c r="H50" s="2" t="s">
        <v>476</v>
      </c>
      <c r="I50" s="2" t="s">
        <v>11</v>
      </c>
      <c r="J50" s="3">
        <f t="shared" si="0"/>
        <v>8.9655172413793102E-2</v>
      </c>
    </row>
    <row r="51" spans="1:10" x14ac:dyDescent="0.35">
      <c r="A51" s="2" t="s">
        <v>420</v>
      </c>
      <c r="B51" s="2">
        <v>1015</v>
      </c>
      <c r="C51" s="2">
        <v>616</v>
      </c>
      <c r="D51" s="2">
        <v>0</v>
      </c>
      <c r="E51" s="2">
        <v>0</v>
      </c>
      <c r="F51" s="2">
        <v>399</v>
      </c>
      <c r="G51" s="2">
        <v>0</v>
      </c>
      <c r="H51" s="2" t="s">
        <v>502</v>
      </c>
      <c r="I51" s="2" t="s">
        <v>11</v>
      </c>
      <c r="J51" s="3">
        <f t="shared" si="0"/>
        <v>0.39310344827586208</v>
      </c>
    </row>
    <row r="52" spans="1:10" x14ac:dyDescent="0.35">
      <c r="A52" s="2" t="s">
        <v>422</v>
      </c>
      <c r="B52" s="2">
        <v>1015</v>
      </c>
      <c r="C52" s="2">
        <v>972</v>
      </c>
      <c r="D52" s="2">
        <v>0</v>
      </c>
      <c r="E52" s="2">
        <v>0</v>
      </c>
      <c r="F52" s="2">
        <v>43</v>
      </c>
      <c r="G52" s="2">
        <v>0</v>
      </c>
      <c r="H52" s="2" t="s">
        <v>503</v>
      </c>
      <c r="I52" s="2" t="s">
        <v>11</v>
      </c>
      <c r="J52" s="3">
        <f t="shared" si="0"/>
        <v>4.2364532019704436E-2</v>
      </c>
    </row>
    <row r="53" spans="1:10" x14ac:dyDescent="0.35">
      <c r="A53" s="2" t="s">
        <v>423</v>
      </c>
      <c r="B53" s="2">
        <v>1015</v>
      </c>
      <c r="C53" s="2">
        <v>947</v>
      </c>
      <c r="D53" s="2">
        <v>1</v>
      </c>
      <c r="E53" s="2">
        <v>0</v>
      </c>
      <c r="F53" s="2">
        <v>67</v>
      </c>
      <c r="G53" s="2">
        <v>0</v>
      </c>
      <c r="H53" s="2" t="s">
        <v>225</v>
      </c>
      <c r="I53" s="2" t="s">
        <v>11</v>
      </c>
      <c r="J53" s="3">
        <f t="shared" si="0"/>
        <v>6.6995073891625609E-2</v>
      </c>
    </row>
    <row r="54" spans="1:10" x14ac:dyDescent="0.35">
      <c r="A54" s="2" t="s">
        <v>424</v>
      </c>
      <c r="B54" s="2">
        <v>1015</v>
      </c>
      <c r="C54" s="2">
        <v>947</v>
      </c>
      <c r="D54" s="2">
        <v>1</v>
      </c>
      <c r="E54" s="2">
        <v>0</v>
      </c>
      <c r="F54" s="2">
        <v>67</v>
      </c>
      <c r="G54" s="2">
        <v>0</v>
      </c>
      <c r="H54" s="2" t="s">
        <v>225</v>
      </c>
      <c r="I54" s="2" t="s">
        <v>11</v>
      </c>
      <c r="J54" s="3">
        <f t="shared" si="0"/>
        <v>6.6995073891625609E-2</v>
      </c>
    </row>
    <row r="55" spans="1:10" x14ac:dyDescent="0.35">
      <c r="A55" s="2" t="s">
        <v>426</v>
      </c>
      <c r="B55" s="2">
        <v>1015</v>
      </c>
      <c r="C55" s="2">
        <v>901</v>
      </c>
      <c r="D55" s="2">
        <v>2</v>
      </c>
      <c r="E55" s="2">
        <v>0</v>
      </c>
      <c r="F55" s="2">
        <v>112</v>
      </c>
      <c r="G55" s="2">
        <v>0</v>
      </c>
      <c r="H55" s="2" t="s">
        <v>169</v>
      </c>
      <c r="I55" s="2" t="s">
        <v>11</v>
      </c>
      <c r="J55" s="3">
        <f t="shared" si="0"/>
        <v>0.1123152709359606</v>
      </c>
    </row>
    <row r="56" spans="1:10" x14ac:dyDescent="0.35">
      <c r="A56" s="2" t="s">
        <v>428</v>
      </c>
      <c r="B56" s="2">
        <v>1015</v>
      </c>
      <c r="C56" s="2">
        <v>950</v>
      </c>
      <c r="D56" s="2">
        <v>2</v>
      </c>
      <c r="E56" s="2">
        <v>0</v>
      </c>
      <c r="F56" s="2">
        <v>63</v>
      </c>
      <c r="G56" s="2">
        <v>0</v>
      </c>
      <c r="H56" s="2" t="s">
        <v>504</v>
      </c>
      <c r="I56" s="2" t="s">
        <v>11</v>
      </c>
      <c r="J56" s="3">
        <f t="shared" si="0"/>
        <v>6.4039408866995079E-2</v>
      </c>
    </row>
    <row r="57" spans="1:10" x14ac:dyDescent="0.35">
      <c r="A57" s="2" t="s">
        <v>429</v>
      </c>
      <c r="B57" s="2">
        <v>1015</v>
      </c>
      <c r="C57" s="2">
        <v>844</v>
      </c>
      <c r="D57" s="2">
        <v>1</v>
      </c>
      <c r="E57" s="2">
        <v>0</v>
      </c>
      <c r="F57" s="2">
        <v>170</v>
      </c>
      <c r="G57" s="2">
        <v>0</v>
      </c>
      <c r="H57" s="2" t="s">
        <v>505</v>
      </c>
      <c r="I57" s="2" t="s">
        <v>11</v>
      </c>
      <c r="J57" s="3">
        <f t="shared" si="0"/>
        <v>0.16847290640394089</v>
      </c>
    </row>
    <row r="58" spans="1:10" x14ac:dyDescent="0.35">
      <c r="A58" s="2" t="s">
        <v>430</v>
      </c>
      <c r="B58" s="2">
        <v>1015</v>
      </c>
      <c r="C58" s="2">
        <v>963</v>
      </c>
      <c r="D58" s="2">
        <v>2</v>
      </c>
      <c r="E58" s="2">
        <v>0</v>
      </c>
      <c r="F58" s="2">
        <v>50</v>
      </c>
      <c r="G58" s="2">
        <v>0</v>
      </c>
      <c r="H58" s="2" t="s">
        <v>506</v>
      </c>
      <c r="I58" s="2" t="s">
        <v>11</v>
      </c>
      <c r="J58" s="3">
        <f t="shared" si="0"/>
        <v>5.123152709359606E-2</v>
      </c>
    </row>
    <row r="59" spans="1:10" x14ac:dyDescent="0.35">
      <c r="A59" s="2" t="s">
        <v>431</v>
      </c>
      <c r="B59" s="2">
        <v>1015</v>
      </c>
      <c r="C59" s="2">
        <v>901</v>
      </c>
      <c r="D59" s="2">
        <v>1</v>
      </c>
      <c r="E59" s="2">
        <v>0</v>
      </c>
      <c r="F59" s="2">
        <v>113</v>
      </c>
      <c r="G59" s="2">
        <v>0</v>
      </c>
      <c r="H59" s="2" t="s">
        <v>169</v>
      </c>
      <c r="I59" s="2" t="s">
        <v>11</v>
      </c>
      <c r="J59" s="3">
        <f t="shared" si="0"/>
        <v>0.1123152709359606</v>
      </c>
    </row>
    <row r="60" spans="1:10" x14ac:dyDescent="0.35">
      <c r="A60" s="2" t="s">
        <v>432</v>
      </c>
      <c r="B60" s="2">
        <v>1015</v>
      </c>
      <c r="C60" s="2">
        <v>812</v>
      </c>
      <c r="D60" s="2">
        <v>3</v>
      </c>
      <c r="E60" s="2">
        <v>0</v>
      </c>
      <c r="F60" s="2">
        <v>200</v>
      </c>
      <c r="G60" s="2">
        <v>0</v>
      </c>
      <c r="H60" s="2" t="s">
        <v>507</v>
      </c>
      <c r="I60" s="2" t="s">
        <v>11</v>
      </c>
      <c r="J60" s="3">
        <f t="shared" si="0"/>
        <v>0.2</v>
      </c>
    </row>
    <row r="61" spans="1:10" x14ac:dyDescent="0.35">
      <c r="A61" s="2" t="s">
        <v>433</v>
      </c>
      <c r="B61" s="2">
        <v>1015</v>
      </c>
      <c r="C61" s="2">
        <v>917</v>
      </c>
      <c r="D61" s="2">
        <v>1</v>
      </c>
      <c r="E61" s="2">
        <v>0</v>
      </c>
      <c r="F61" s="2">
        <v>97</v>
      </c>
      <c r="G61" s="2">
        <v>0</v>
      </c>
      <c r="H61" s="2" t="s">
        <v>480</v>
      </c>
      <c r="I61" s="2" t="s">
        <v>11</v>
      </c>
      <c r="J61" s="3">
        <f t="shared" si="0"/>
        <v>9.6551724137931033E-2</v>
      </c>
    </row>
    <row r="62" spans="1:10" x14ac:dyDescent="0.35">
      <c r="A62" s="2" t="s">
        <v>434</v>
      </c>
      <c r="B62" s="2">
        <v>1015</v>
      </c>
      <c r="C62" s="2">
        <v>833</v>
      </c>
      <c r="D62" s="2">
        <v>0</v>
      </c>
      <c r="E62" s="2">
        <v>0</v>
      </c>
      <c r="F62" s="2">
        <v>182</v>
      </c>
      <c r="G62" s="2">
        <v>0</v>
      </c>
      <c r="H62" s="2" t="s">
        <v>508</v>
      </c>
      <c r="I62" s="2" t="s">
        <v>11</v>
      </c>
      <c r="J62" s="3">
        <f t="shared" si="0"/>
        <v>0.1793103448275862</v>
      </c>
    </row>
    <row r="63" spans="1:10" x14ac:dyDescent="0.35">
      <c r="A63" s="2" t="s">
        <v>435</v>
      </c>
      <c r="B63" s="2">
        <v>1015</v>
      </c>
      <c r="C63" s="2">
        <v>880</v>
      </c>
      <c r="D63" s="2">
        <v>5</v>
      </c>
      <c r="E63" s="2">
        <v>0</v>
      </c>
      <c r="F63" s="2">
        <v>130</v>
      </c>
      <c r="G63" s="2">
        <v>0</v>
      </c>
      <c r="H63" s="2" t="s">
        <v>467</v>
      </c>
      <c r="I63" s="2" t="s">
        <v>11</v>
      </c>
      <c r="J63" s="3">
        <f t="shared" si="0"/>
        <v>0.13300492610837439</v>
      </c>
    </row>
    <row r="64" spans="1:10" x14ac:dyDescent="0.35">
      <c r="A64" s="2" t="s">
        <v>436</v>
      </c>
      <c r="B64" s="2">
        <v>1015</v>
      </c>
      <c r="C64" s="2">
        <v>926</v>
      </c>
      <c r="D64" s="2">
        <v>1</v>
      </c>
      <c r="E64" s="2">
        <v>0</v>
      </c>
      <c r="F64" s="2">
        <v>88</v>
      </c>
      <c r="G64" s="2">
        <v>0</v>
      </c>
      <c r="H64" s="2" t="s">
        <v>489</v>
      </c>
      <c r="I64" s="2" t="s">
        <v>11</v>
      </c>
      <c r="J64" s="3">
        <f t="shared" si="0"/>
        <v>8.7684729064039416E-2</v>
      </c>
    </row>
    <row r="65" spans="1:10" x14ac:dyDescent="0.35">
      <c r="A65" s="2" t="s">
        <v>437</v>
      </c>
      <c r="B65" s="2">
        <v>1015</v>
      </c>
      <c r="C65" s="2">
        <v>904</v>
      </c>
      <c r="D65" s="2">
        <v>3</v>
      </c>
      <c r="E65" s="2">
        <v>0</v>
      </c>
      <c r="F65" s="2">
        <v>108</v>
      </c>
      <c r="G65" s="2">
        <v>0</v>
      </c>
      <c r="H65" s="2" t="s">
        <v>509</v>
      </c>
      <c r="I65" s="2" t="s">
        <v>11</v>
      </c>
      <c r="J65" s="3">
        <f t="shared" si="0"/>
        <v>0.10935960591133005</v>
      </c>
    </row>
    <row r="66" spans="1:10" x14ac:dyDescent="0.35">
      <c r="A66" s="2" t="s">
        <v>438</v>
      </c>
      <c r="B66" s="2">
        <v>1015</v>
      </c>
      <c r="C66" s="2">
        <v>889</v>
      </c>
      <c r="D66" s="2">
        <v>1</v>
      </c>
      <c r="E66" s="2">
        <v>0</v>
      </c>
      <c r="F66" s="2">
        <v>125</v>
      </c>
      <c r="G66" s="2">
        <v>0</v>
      </c>
      <c r="H66" s="2" t="s">
        <v>510</v>
      </c>
      <c r="I66" s="2" t="s">
        <v>11</v>
      </c>
      <c r="J66" s="3">
        <f t="shared" si="0"/>
        <v>0.12413793103448276</v>
      </c>
    </row>
    <row r="67" spans="1:10" x14ac:dyDescent="0.35">
      <c r="A67" s="2" t="s">
        <v>439</v>
      </c>
      <c r="B67" s="2">
        <v>1015</v>
      </c>
      <c r="C67" s="2">
        <v>934</v>
      </c>
      <c r="D67" s="2">
        <v>1</v>
      </c>
      <c r="E67" s="2">
        <v>0</v>
      </c>
      <c r="F67" s="2">
        <v>80</v>
      </c>
      <c r="G67" s="2">
        <v>0</v>
      </c>
      <c r="H67" s="2" t="s">
        <v>511</v>
      </c>
      <c r="I67" s="2" t="s">
        <v>11</v>
      </c>
      <c r="J67" s="3">
        <f t="shared" ref="J67:J91" si="1">(D67+E67+F67)/B67</f>
        <v>7.9802955665024627E-2</v>
      </c>
    </row>
    <row r="68" spans="1:10" x14ac:dyDescent="0.35">
      <c r="A68" s="2" t="s">
        <v>440</v>
      </c>
      <c r="B68" s="2">
        <v>1015</v>
      </c>
      <c r="C68" s="2">
        <v>875</v>
      </c>
      <c r="D68" s="2">
        <v>0</v>
      </c>
      <c r="E68" s="2">
        <v>0</v>
      </c>
      <c r="F68" s="2">
        <v>140</v>
      </c>
      <c r="G68" s="2">
        <v>0</v>
      </c>
      <c r="H68" s="2" t="s">
        <v>512</v>
      </c>
      <c r="I68" s="2" t="s">
        <v>11</v>
      </c>
      <c r="J68" s="3">
        <f t="shared" si="1"/>
        <v>0.13793103448275862</v>
      </c>
    </row>
    <row r="69" spans="1:10" x14ac:dyDescent="0.35">
      <c r="A69" s="2" t="s">
        <v>441</v>
      </c>
      <c r="B69" s="2">
        <v>1015</v>
      </c>
      <c r="C69" s="2">
        <v>910</v>
      </c>
      <c r="D69" s="2">
        <v>0</v>
      </c>
      <c r="E69" s="2">
        <v>0</v>
      </c>
      <c r="F69" s="2">
        <v>105</v>
      </c>
      <c r="G69" s="2">
        <v>0</v>
      </c>
      <c r="H69" s="2" t="s">
        <v>177</v>
      </c>
      <c r="I69" s="2" t="s">
        <v>11</v>
      </c>
      <c r="J69" s="3">
        <f t="shared" si="1"/>
        <v>0.10344827586206896</v>
      </c>
    </row>
    <row r="70" spans="1:10" x14ac:dyDescent="0.35">
      <c r="A70" s="2" t="s">
        <v>443</v>
      </c>
      <c r="B70" s="2">
        <v>1015</v>
      </c>
      <c r="C70" s="2">
        <v>940</v>
      </c>
      <c r="D70" s="2">
        <v>0</v>
      </c>
      <c r="E70" s="2">
        <v>0</v>
      </c>
      <c r="F70" s="2">
        <v>75</v>
      </c>
      <c r="G70" s="2">
        <v>0</v>
      </c>
      <c r="H70" s="2" t="s">
        <v>513</v>
      </c>
      <c r="I70" s="2" t="s">
        <v>11</v>
      </c>
      <c r="J70" s="3">
        <f t="shared" si="1"/>
        <v>7.3891625615763554E-2</v>
      </c>
    </row>
    <row r="71" spans="1:10" x14ac:dyDescent="0.35">
      <c r="A71" s="2" t="s">
        <v>444</v>
      </c>
      <c r="B71" s="2">
        <v>1015</v>
      </c>
      <c r="C71" s="2">
        <v>826</v>
      </c>
      <c r="D71" s="2">
        <v>2</v>
      </c>
      <c r="E71" s="2">
        <v>0</v>
      </c>
      <c r="F71" s="2">
        <v>187</v>
      </c>
      <c r="G71" s="2">
        <v>0</v>
      </c>
      <c r="H71" s="2" t="s">
        <v>514</v>
      </c>
      <c r="I71" s="2" t="s">
        <v>11</v>
      </c>
      <c r="J71" s="3">
        <f t="shared" si="1"/>
        <v>0.18620689655172415</v>
      </c>
    </row>
    <row r="72" spans="1:10" x14ac:dyDescent="0.35">
      <c r="A72" s="2" t="s">
        <v>445</v>
      </c>
      <c r="B72" s="2">
        <v>1015</v>
      </c>
      <c r="C72" s="2">
        <v>891</v>
      </c>
      <c r="D72" s="2">
        <v>1</v>
      </c>
      <c r="E72" s="2">
        <v>0</v>
      </c>
      <c r="F72" s="2">
        <v>123</v>
      </c>
      <c r="G72" s="2">
        <v>0</v>
      </c>
      <c r="H72" s="2" t="s">
        <v>515</v>
      </c>
      <c r="I72" s="2" t="s">
        <v>11</v>
      </c>
      <c r="J72" s="3">
        <f t="shared" si="1"/>
        <v>0.12216748768472907</v>
      </c>
    </row>
    <row r="73" spans="1:10" x14ac:dyDescent="0.35">
      <c r="A73" s="2" t="s">
        <v>446</v>
      </c>
      <c r="B73" s="2">
        <v>1015</v>
      </c>
      <c r="C73" s="2">
        <v>933</v>
      </c>
      <c r="D73" s="2">
        <v>0</v>
      </c>
      <c r="E73" s="2">
        <v>0</v>
      </c>
      <c r="F73" s="2">
        <v>82</v>
      </c>
      <c r="G73" s="2">
        <v>0</v>
      </c>
      <c r="H73" s="2" t="s">
        <v>516</v>
      </c>
      <c r="I73" s="2" t="s">
        <v>11</v>
      </c>
      <c r="J73" s="3">
        <f t="shared" si="1"/>
        <v>8.0788177339901485E-2</v>
      </c>
    </row>
    <row r="74" spans="1:10" x14ac:dyDescent="0.35">
      <c r="A74" s="2" t="s">
        <v>447</v>
      </c>
      <c r="B74" s="2">
        <v>1015</v>
      </c>
      <c r="C74" s="2">
        <v>960</v>
      </c>
      <c r="D74" s="2">
        <v>0</v>
      </c>
      <c r="E74" s="2">
        <v>0</v>
      </c>
      <c r="F74" s="2">
        <v>55</v>
      </c>
      <c r="G74" s="2">
        <v>0</v>
      </c>
      <c r="H74" s="2" t="s">
        <v>194</v>
      </c>
      <c r="I74" s="2" t="s">
        <v>11</v>
      </c>
      <c r="J74" s="3">
        <f t="shared" si="1"/>
        <v>5.4187192118226604E-2</v>
      </c>
    </row>
    <row r="75" spans="1:10" x14ac:dyDescent="0.35">
      <c r="A75" s="2" t="s">
        <v>448</v>
      </c>
      <c r="B75" s="2">
        <v>1015</v>
      </c>
      <c r="C75" s="2">
        <v>933</v>
      </c>
      <c r="D75" s="2">
        <v>0</v>
      </c>
      <c r="E75" s="2">
        <v>0</v>
      </c>
      <c r="F75" s="2">
        <v>82</v>
      </c>
      <c r="G75" s="2">
        <v>0</v>
      </c>
      <c r="H75" s="2" t="s">
        <v>516</v>
      </c>
      <c r="I75" s="2" t="s">
        <v>11</v>
      </c>
      <c r="J75" s="3">
        <f t="shared" si="1"/>
        <v>8.0788177339901485E-2</v>
      </c>
    </row>
    <row r="76" spans="1:10" x14ac:dyDescent="0.35">
      <c r="A76" s="2" t="s">
        <v>449</v>
      </c>
      <c r="B76" s="2">
        <v>1015</v>
      </c>
      <c r="C76" s="2">
        <v>957</v>
      </c>
      <c r="D76" s="2">
        <v>0</v>
      </c>
      <c r="E76" s="2">
        <v>0</v>
      </c>
      <c r="F76" s="2">
        <v>58</v>
      </c>
      <c r="G76" s="2">
        <v>0</v>
      </c>
      <c r="H76" s="2" t="s">
        <v>517</v>
      </c>
      <c r="I76" s="2" t="s">
        <v>11</v>
      </c>
      <c r="J76" s="3">
        <f t="shared" si="1"/>
        <v>5.7142857142857141E-2</v>
      </c>
    </row>
    <row r="77" spans="1:10" x14ac:dyDescent="0.35">
      <c r="A77" s="2" t="s">
        <v>450</v>
      </c>
      <c r="B77" s="2">
        <v>1015</v>
      </c>
      <c r="C77" s="2">
        <v>796</v>
      </c>
      <c r="D77" s="2">
        <v>0</v>
      </c>
      <c r="E77" s="2">
        <v>0</v>
      </c>
      <c r="F77" s="2">
        <v>219</v>
      </c>
      <c r="G77" s="2">
        <v>0</v>
      </c>
      <c r="H77" s="2" t="s">
        <v>518</v>
      </c>
      <c r="I77" s="2" t="s">
        <v>11</v>
      </c>
      <c r="J77" s="3">
        <f t="shared" si="1"/>
        <v>0.21576354679802956</v>
      </c>
    </row>
    <row r="78" spans="1:10" x14ac:dyDescent="0.35">
      <c r="A78" s="2" t="s">
        <v>451</v>
      </c>
      <c r="B78" s="2">
        <v>1015</v>
      </c>
      <c r="C78" s="2">
        <v>890</v>
      </c>
      <c r="D78" s="2">
        <v>2</v>
      </c>
      <c r="E78" s="2">
        <v>0</v>
      </c>
      <c r="F78" s="2">
        <v>123</v>
      </c>
      <c r="G78" s="2">
        <v>0</v>
      </c>
      <c r="H78" s="2" t="s">
        <v>519</v>
      </c>
      <c r="I78" s="2" t="s">
        <v>11</v>
      </c>
      <c r="J78" s="3">
        <f t="shared" si="1"/>
        <v>0.12315270935960591</v>
      </c>
    </row>
    <row r="79" spans="1:10" x14ac:dyDescent="0.35">
      <c r="A79" s="2" t="s">
        <v>452</v>
      </c>
      <c r="B79" s="2">
        <v>1015</v>
      </c>
      <c r="C79" s="2">
        <v>905</v>
      </c>
      <c r="D79" s="2">
        <v>4</v>
      </c>
      <c r="E79" s="2">
        <v>0</v>
      </c>
      <c r="F79" s="2">
        <v>106</v>
      </c>
      <c r="G79" s="2">
        <v>0</v>
      </c>
      <c r="H79" s="2" t="s">
        <v>520</v>
      </c>
      <c r="I79" s="2" t="s">
        <v>11</v>
      </c>
      <c r="J79" s="3">
        <f t="shared" si="1"/>
        <v>0.10837438423645321</v>
      </c>
    </row>
    <row r="80" spans="1:10" x14ac:dyDescent="0.35">
      <c r="A80" s="2" t="s">
        <v>453</v>
      </c>
      <c r="B80" s="2">
        <v>1015</v>
      </c>
      <c r="C80" s="2">
        <v>858</v>
      </c>
      <c r="D80" s="2">
        <v>2</v>
      </c>
      <c r="E80" s="2">
        <v>0</v>
      </c>
      <c r="F80" s="2">
        <v>155</v>
      </c>
      <c r="G80" s="2">
        <v>0</v>
      </c>
      <c r="H80" s="2" t="s">
        <v>521</v>
      </c>
      <c r="I80" s="2" t="s">
        <v>11</v>
      </c>
      <c r="J80" s="3">
        <f t="shared" si="1"/>
        <v>0.15467980295566502</v>
      </c>
    </row>
    <row r="81" spans="1:10" x14ac:dyDescent="0.35">
      <c r="A81" s="2" t="s">
        <v>454</v>
      </c>
      <c r="B81" s="2">
        <v>1015</v>
      </c>
      <c r="C81" s="2">
        <v>725</v>
      </c>
      <c r="D81" s="2">
        <v>4</v>
      </c>
      <c r="E81" s="2">
        <v>0</v>
      </c>
      <c r="F81" s="2">
        <v>286</v>
      </c>
      <c r="G81" s="2">
        <v>0</v>
      </c>
      <c r="H81" s="2" t="s">
        <v>522</v>
      </c>
      <c r="I81" s="2" t="s">
        <v>11</v>
      </c>
      <c r="J81" s="3">
        <f t="shared" si="1"/>
        <v>0.2857142857142857</v>
      </c>
    </row>
    <row r="82" spans="1:10" x14ac:dyDescent="0.35">
      <c r="A82" s="2" t="s">
        <v>455</v>
      </c>
      <c r="B82" s="2">
        <v>1015</v>
      </c>
      <c r="C82" s="2">
        <v>928</v>
      </c>
      <c r="D82" s="2">
        <v>1</v>
      </c>
      <c r="E82" s="2">
        <v>0</v>
      </c>
      <c r="F82" s="2">
        <v>86</v>
      </c>
      <c r="G82" s="2">
        <v>0</v>
      </c>
      <c r="H82" s="2" t="s">
        <v>523</v>
      </c>
      <c r="I82" s="2" t="s">
        <v>11</v>
      </c>
      <c r="J82" s="3">
        <f t="shared" si="1"/>
        <v>8.5714285714285715E-2</v>
      </c>
    </row>
    <row r="83" spans="1:10" x14ac:dyDescent="0.35">
      <c r="A83" s="2" t="s">
        <v>456</v>
      </c>
      <c r="B83" s="2">
        <v>1015</v>
      </c>
      <c r="C83" s="2">
        <v>960</v>
      </c>
      <c r="D83" s="2">
        <v>0</v>
      </c>
      <c r="E83" s="2">
        <v>0</v>
      </c>
      <c r="F83" s="2">
        <v>55</v>
      </c>
      <c r="G83" s="2">
        <v>0</v>
      </c>
      <c r="H83" s="2" t="s">
        <v>194</v>
      </c>
      <c r="I83" s="2" t="s">
        <v>11</v>
      </c>
      <c r="J83" s="3">
        <f t="shared" si="1"/>
        <v>5.4187192118226604E-2</v>
      </c>
    </row>
    <row r="84" spans="1:10" x14ac:dyDescent="0.35">
      <c r="A84" s="2" t="s">
        <v>457</v>
      </c>
      <c r="B84" s="2">
        <v>1015</v>
      </c>
      <c r="C84" s="2">
        <v>926</v>
      </c>
      <c r="D84" s="2">
        <v>0</v>
      </c>
      <c r="E84" s="2">
        <v>0</v>
      </c>
      <c r="F84" s="2">
        <v>89</v>
      </c>
      <c r="G84" s="2">
        <v>0</v>
      </c>
      <c r="H84" s="2" t="s">
        <v>489</v>
      </c>
      <c r="I84" s="2" t="s">
        <v>11</v>
      </c>
      <c r="J84" s="3">
        <f t="shared" si="1"/>
        <v>8.7684729064039416E-2</v>
      </c>
    </row>
    <row r="85" spans="1:10" x14ac:dyDescent="0.35">
      <c r="A85" s="2" t="s">
        <v>458</v>
      </c>
      <c r="B85" s="2">
        <v>1015</v>
      </c>
      <c r="C85" s="2">
        <v>977</v>
      </c>
      <c r="D85" s="2">
        <v>0</v>
      </c>
      <c r="E85" s="2">
        <v>0</v>
      </c>
      <c r="F85" s="2">
        <v>38</v>
      </c>
      <c r="G85" s="2">
        <v>0</v>
      </c>
      <c r="H85" s="2" t="s">
        <v>524</v>
      </c>
      <c r="I85" s="2" t="s">
        <v>11</v>
      </c>
      <c r="J85" s="3">
        <f t="shared" si="1"/>
        <v>3.7438423645320199E-2</v>
      </c>
    </row>
    <row r="86" spans="1:10" x14ac:dyDescent="0.35">
      <c r="A86" s="2" t="s">
        <v>460</v>
      </c>
      <c r="B86" s="2">
        <v>1015</v>
      </c>
      <c r="C86" s="2">
        <v>922</v>
      </c>
      <c r="D86" s="2">
        <v>0</v>
      </c>
      <c r="E86" s="2">
        <v>0</v>
      </c>
      <c r="F86" s="2">
        <v>93</v>
      </c>
      <c r="G86" s="2">
        <v>0</v>
      </c>
      <c r="H86" s="2" t="s">
        <v>525</v>
      </c>
      <c r="I86" s="2" t="s">
        <v>11</v>
      </c>
      <c r="J86" s="3">
        <f t="shared" si="1"/>
        <v>9.1625615763546803E-2</v>
      </c>
    </row>
    <row r="87" spans="1:10" x14ac:dyDescent="0.35">
      <c r="A87" s="2" t="s">
        <v>461</v>
      </c>
      <c r="B87" s="2">
        <v>1015</v>
      </c>
      <c r="C87" s="2">
        <v>889</v>
      </c>
      <c r="D87" s="2">
        <v>0</v>
      </c>
      <c r="E87" s="2">
        <v>0</v>
      </c>
      <c r="F87" s="2">
        <v>126</v>
      </c>
      <c r="G87" s="2">
        <v>0</v>
      </c>
      <c r="H87" s="2" t="s">
        <v>510</v>
      </c>
      <c r="I87" s="2" t="s">
        <v>11</v>
      </c>
      <c r="J87" s="3">
        <f t="shared" si="1"/>
        <v>0.12413793103448276</v>
      </c>
    </row>
    <row r="88" spans="1:10" x14ac:dyDescent="0.35">
      <c r="A88" s="2" t="s">
        <v>462</v>
      </c>
      <c r="B88" s="2">
        <v>1015</v>
      </c>
      <c r="C88" s="2">
        <v>858</v>
      </c>
      <c r="D88" s="2">
        <v>1</v>
      </c>
      <c r="E88" s="2">
        <v>0</v>
      </c>
      <c r="F88" s="2">
        <v>156</v>
      </c>
      <c r="G88" s="2">
        <v>0</v>
      </c>
      <c r="H88" s="2" t="s">
        <v>521</v>
      </c>
      <c r="I88" s="2" t="s">
        <v>11</v>
      </c>
      <c r="J88" s="3">
        <f t="shared" si="1"/>
        <v>0.15467980295566502</v>
      </c>
    </row>
    <row r="89" spans="1:10" x14ac:dyDescent="0.35">
      <c r="A89" s="2" t="s">
        <v>463</v>
      </c>
      <c r="B89" s="2">
        <v>1015</v>
      </c>
      <c r="C89" s="2">
        <v>848</v>
      </c>
      <c r="D89" s="2">
        <v>1</v>
      </c>
      <c r="E89" s="2">
        <v>0</v>
      </c>
      <c r="F89" s="2">
        <v>166</v>
      </c>
      <c r="G89" s="2">
        <v>0</v>
      </c>
      <c r="H89" s="2" t="s">
        <v>526</v>
      </c>
      <c r="I89" s="2" t="s">
        <v>11</v>
      </c>
      <c r="J89" s="3">
        <f t="shared" si="1"/>
        <v>0.16453201970443349</v>
      </c>
    </row>
    <row r="90" spans="1:10" x14ac:dyDescent="0.35">
      <c r="A90" s="2" t="s">
        <v>464</v>
      </c>
      <c r="B90" s="2">
        <v>1015</v>
      </c>
      <c r="C90" s="2">
        <v>811</v>
      </c>
      <c r="D90" s="2">
        <v>1</v>
      </c>
      <c r="E90" s="2">
        <v>0</v>
      </c>
      <c r="F90" s="2">
        <v>203</v>
      </c>
      <c r="G90" s="2">
        <v>0</v>
      </c>
      <c r="H90" s="2" t="s">
        <v>527</v>
      </c>
      <c r="I90" s="2" t="s">
        <v>11</v>
      </c>
      <c r="J90" s="3">
        <f t="shared" si="1"/>
        <v>0.20098522167487684</v>
      </c>
    </row>
    <row r="91" spans="1:10" x14ac:dyDescent="0.35">
      <c r="A91" s="2" t="s">
        <v>465</v>
      </c>
      <c r="B91" s="2">
        <v>1015</v>
      </c>
      <c r="C91" s="2">
        <v>937</v>
      </c>
      <c r="D91" s="2">
        <v>0</v>
      </c>
      <c r="E91" s="2">
        <v>0</v>
      </c>
      <c r="F91" s="2">
        <v>78</v>
      </c>
      <c r="G91" s="2">
        <v>0</v>
      </c>
      <c r="H91" s="2" t="s">
        <v>528</v>
      </c>
      <c r="I91" s="2" t="s">
        <v>11</v>
      </c>
      <c r="J91" s="3">
        <f t="shared" si="1"/>
        <v>7.6847290640394084E-2</v>
      </c>
    </row>
    <row r="92" spans="1:10" x14ac:dyDescent="0.35">
      <c r="A92" s="2" t="s">
        <v>652</v>
      </c>
      <c r="J92">
        <f>AVERAGE(J2:J91)</f>
        <v>0.11917898193760258</v>
      </c>
    </row>
    <row r="93" spans="1:10" x14ac:dyDescent="0.35">
      <c r="A93" s="2" t="s">
        <v>653</v>
      </c>
      <c r="J93" s="5">
        <f>MEDIAN(J2:J91)</f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3"/>
  <sheetViews>
    <sheetView workbookViewId="0">
      <pane xSplit="1" ySplit="1" topLeftCell="F71" activePane="bottomRight" state="frozen"/>
      <selection pane="topRight"/>
      <selection pane="bottomLeft"/>
      <selection pane="bottomRight" activeCell="J2" sqref="J2:J91"/>
    </sheetView>
  </sheetViews>
  <sheetFormatPr defaultRowHeight="14.5" x14ac:dyDescent="0.35"/>
  <cols>
    <col min="1" max="1" width="32" customWidth="1"/>
    <col min="2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354</v>
      </c>
      <c r="B2" s="2">
        <v>7192</v>
      </c>
      <c r="C2" s="2">
        <v>6916</v>
      </c>
      <c r="D2" s="2">
        <v>7</v>
      </c>
      <c r="E2" s="2">
        <v>39</v>
      </c>
      <c r="F2" s="2">
        <v>230</v>
      </c>
      <c r="G2" s="2">
        <v>0</v>
      </c>
      <c r="H2" s="2" t="s">
        <v>529</v>
      </c>
      <c r="I2" s="2" t="s">
        <v>184</v>
      </c>
      <c r="J2" s="3">
        <f>(D2+E2+F2)/B2</f>
        <v>3.8375973303670742E-2</v>
      </c>
    </row>
    <row r="3" spans="1:10" x14ac:dyDescent="0.35">
      <c r="A3" s="2" t="s">
        <v>356</v>
      </c>
      <c r="B3" s="2">
        <v>7192</v>
      </c>
      <c r="C3" s="2">
        <v>6808</v>
      </c>
      <c r="D3" s="2">
        <v>14</v>
      </c>
      <c r="E3" s="2">
        <v>39</v>
      </c>
      <c r="F3" s="2">
        <v>331</v>
      </c>
      <c r="G3" s="2">
        <v>0</v>
      </c>
      <c r="H3" s="2" t="s">
        <v>393</v>
      </c>
      <c r="I3" s="2" t="s">
        <v>184</v>
      </c>
      <c r="J3" s="3">
        <f t="shared" ref="J3:J66" si="0">(D3+E3+F3)/B3</f>
        <v>5.3392658509454953E-2</v>
      </c>
    </row>
    <row r="4" spans="1:10" x14ac:dyDescent="0.35">
      <c r="A4" s="2" t="s">
        <v>357</v>
      </c>
      <c r="B4" s="2">
        <v>7192</v>
      </c>
      <c r="C4" s="2">
        <v>6768</v>
      </c>
      <c r="D4" s="2">
        <v>14</v>
      </c>
      <c r="E4" s="2">
        <v>39</v>
      </c>
      <c r="F4" s="2">
        <v>371</v>
      </c>
      <c r="G4" s="2">
        <v>0</v>
      </c>
      <c r="H4" s="2" t="s">
        <v>530</v>
      </c>
      <c r="I4" s="2" t="s">
        <v>184</v>
      </c>
      <c r="J4" s="3">
        <f t="shared" si="0"/>
        <v>5.8954393770856504E-2</v>
      </c>
    </row>
    <row r="5" spans="1:10" x14ac:dyDescent="0.35">
      <c r="A5" s="2" t="s">
        <v>358</v>
      </c>
      <c r="B5" s="2">
        <v>7192</v>
      </c>
      <c r="C5" s="2">
        <v>6826</v>
      </c>
      <c r="D5" s="2">
        <v>8</v>
      </c>
      <c r="E5" s="2">
        <v>35</v>
      </c>
      <c r="F5" s="2">
        <v>323</v>
      </c>
      <c r="G5" s="2">
        <v>0</v>
      </c>
      <c r="H5" s="2" t="s">
        <v>531</v>
      </c>
      <c r="I5" s="2" t="s">
        <v>532</v>
      </c>
      <c r="J5" s="3">
        <f t="shared" si="0"/>
        <v>5.0889877641824247E-2</v>
      </c>
    </row>
    <row r="6" spans="1:10" x14ac:dyDescent="0.35">
      <c r="A6" s="2" t="s">
        <v>359</v>
      </c>
      <c r="B6" s="2">
        <v>7192</v>
      </c>
      <c r="C6" s="2">
        <v>6748</v>
      </c>
      <c r="D6" s="2">
        <v>10</v>
      </c>
      <c r="E6" s="2">
        <v>37</v>
      </c>
      <c r="F6" s="2">
        <v>397</v>
      </c>
      <c r="G6" s="2">
        <v>0</v>
      </c>
      <c r="H6" s="2" t="s">
        <v>57</v>
      </c>
      <c r="I6" s="2" t="s">
        <v>226</v>
      </c>
      <c r="J6" s="3">
        <f t="shared" si="0"/>
        <v>6.1735261401557287E-2</v>
      </c>
    </row>
    <row r="7" spans="1:10" x14ac:dyDescent="0.35">
      <c r="A7" s="2" t="s">
        <v>361</v>
      </c>
      <c r="B7" s="2">
        <v>7192</v>
      </c>
      <c r="C7" s="2">
        <v>6776</v>
      </c>
      <c r="D7" s="2">
        <v>22</v>
      </c>
      <c r="E7" s="2">
        <v>39</v>
      </c>
      <c r="F7" s="2">
        <v>355</v>
      </c>
      <c r="G7" s="2">
        <v>0</v>
      </c>
      <c r="H7" s="2" t="s">
        <v>533</v>
      </c>
      <c r="I7" s="2" t="s">
        <v>184</v>
      </c>
      <c r="J7" s="3">
        <f t="shared" si="0"/>
        <v>5.7842046718576193E-2</v>
      </c>
    </row>
    <row r="8" spans="1:10" x14ac:dyDescent="0.35">
      <c r="A8" s="2" t="s">
        <v>363</v>
      </c>
      <c r="B8" s="2">
        <v>7192</v>
      </c>
      <c r="C8" s="2">
        <v>6802</v>
      </c>
      <c r="D8" s="2">
        <v>8</v>
      </c>
      <c r="E8" s="2">
        <v>37</v>
      </c>
      <c r="F8" s="2">
        <v>345</v>
      </c>
      <c r="G8" s="2">
        <v>0</v>
      </c>
      <c r="H8" s="2" t="s">
        <v>194</v>
      </c>
      <c r="I8" s="2" t="s">
        <v>226</v>
      </c>
      <c r="J8" s="3">
        <f t="shared" si="0"/>
        <v>5.4226918798665182E-2</v>
      </c>
    </row>
    <row r="9" spans="1:10" x14ac:dyDescent="0.35">
      <c r="A9" s="2" t="s">
        <v>365</v>
      </c>
      <c r="B9" s="2">
        <v>7192</v>
      </c>
      <c r="C9" s="2">
        <v>6791</v>
      </c>
      <c r="D9" s="2">
        <v>18</v>
      </c>
      <c r="E9" s="2">
        <v>38</v>
      </c>
      <c r="F9" s="2">
        <v>345</v>
      </c>
      <c r="G9" s="2">
        <v>0</v>
      </c>
      <c r="H9" s="2" t="s">
        <v>191</v>
      </c>
      <c r="I9" s="2" t="s">
        <v>188</v>
      </c>
      <c r="J9" s="3">
        <f t="shared" si="0"/>
        <v>5.5756395995550614E-2</v>
      </c>
    </row>
    <row r="10" spans="1:10" x14ac:dyDescent="0.35">
      <c r="A10" s="2" t="s">
        <v>366</v>
      </c>
      <c r="B10" s="2">
        <v>7192</v>
      </c>
      <c r="C10" s="2">
        <v>6745</v>
      </c>
      <c r="D10" s="2">
        <v>20</v>
      </c>
      <c r="E10" s="2">
        <v>36</v>
      </c>
      <c r="F10" s="2">
        <v>391</v>
      </c>
      <c r="G10" s="2">
        <v>0</v>
      </c>
      <c r="H10" s="2" t="s">
        <v>534</v>
      </c>
      <c r="I10" s="2" t="s">
        <v>229</v>
      </c>
      <c r="J10" s="3">
        <f t="shared" si="0"/>
        <v>6.2152391546162401E-2</v>
      </c>
    </row>
    <row r="11" spans="1:10" x14ac:dyDescent="0.35">
      <c r="A11" s="2" t="s">
        <v>368</v>
      </c>
      <c r="B11" s="2">
        <v>7192</v>
      </c>
      <c r="C11" s="2">
        <v>6564</v>
      </c>
      <c r="D11" s="2">
        <v>13</v>
      </c>
      <c r="E11" s="2">
        <v>44</v>
      </c>
      <c r="F11" s="2">
        <v>571</v>
      </c>
      <c r="G11" s="2">
        <v>0</v>
      </c>
      <c r="H11" s="2" t="s">
        <v>535</v>
      </c>
      <c r="I11" s="2" t="s">
        <v>192</v>
      </c>
      <c r="J11" s="3">
        <f t="shared" si="0"/>
        <v>8.7319243604004448E-2</v>
      </c>
    </row>
    <row r="12" spans="1:10" x14ac:dyDescent="0.35">
      <c r="A12" s="2" t="s">
        <v>370</v>
      </c>
      <c r="B12" s="2">
        <v>7192</v>
      </c>
      <c r="C12" s="2">
        <v>6770</v>
      </c>
      <c r="D12" s="2">
        <v>17</v>
      </c>
      <c r="E12" s="2">
        <v>40</v>
      </c>
      <c r="F12" s="2">
        <v>365</v>
      </c>
      <c r="G12" s="2">
        <v>0</v>
      </c>
      <c r="H12" s="2" t="s">
        <v>536</v>
      </c>
      <c r="I12" s="2" t="s">
        <v>537</v>
      </c>
      <c r="J12" s="3">
        <f t="shared" si="0"/>
        <v>5.8676307007786428E-2</v>
      </c>
    </row>
    <row r="13" spans="1:10" x14ac:dyDescent="0.35">
      <c r="A13" s="2" t="s">
        <v>372</v>
      </c>
      <c r="B13" s="2">
        <v>7192</v>
      </c>
      <c r="C13" s="2">
        <v>6839</v>
      </c>
      <c r="D13" s="2">
        <v>11</v>
      </c>
      <c r="E13" s="2">
        <v>40</v>
      </c>
      <c r="F13" s="2">
        <v>302</v>
      </c>
      <c r="G13" s="2">
        <v>0</v>
      </c>
      <c r="H13" s="2" t="s">
        <v>538</v>
      </c>
      <c r="I13" s="2" t="s">
        <v>537</v>
      </c>
      <c r="J13" s="3">
        <f t="shared" si="0"/>
        <v>4.9082313681868744E-2</v>
      </c>
    </row>
    <row r="14" spans="1:10" x14ac:dyDescent="0.35">
      <c r="A14" s="2" t="s">
        <v>374</v>
      </c>
      <c r="B14" s="2">
        <v>7192</v>
      </c>
      <c r="C14" s="2">
        <v>6777</v>
      </c>
      <c r="D14" s="2">
        <v>22</v>
      </c>
      <c r="E14" s="2">
        <v>41</v>
      </c>
      <c r="F14" s="2">
        <v>352</v>
      </c>
      <c r="G14" s="2">
        <v>0</v>
      </c>
      <c r="H14" s="2" t="s">
        <v>143</v>
      </c>
      <c r="I14" s="2" t="s">
        <v>190</v>
      </c>
      <c r="J14" s="3">
        <f t="shared" si="0"/>
        <v>5.7703003337041155E-2</v>
      </c>
    </row>
    <row r="15" spans="1:10" x14ac:dyDescent="0.35">
      <c r="A15" s="2" t="s">
        <v>376</v>
      </c>
      <c r="B15" s="2">
        <v>7192</v>
      </c>
      <c r="C15" s="2">
        <v>6777</v>
      </c>
      <c r="D15" s="2">
        <v>23</v>
      </c>
      <c r="E15" s="2">
        <v>35</v>
      </c>
      <c r="F15" s="2">
        <v>357</v>
      </c>
      <c r="G15" s="2">
        <v>0</v>
      </c>
      <c r="H15" s="2" t="s">
        <v>143</v>
      </c>
      <c r="I15" s="2" t="s">
        <v>532</v>
      </c>
      <c r="J15" s="3">
        <f t="shared" si="0"/>
        <v>5.7703003337041155E-2</v>
      </c>
    </row>
    <row r="16" spans="1:10" x14ac:dyDescent="0.35">
      <c r="A16" s="2" t="s">
        <v>377</v>
      </c>
      <c r="B16" s="2">
        <v>7192</v>
      </c>
      <c r="C16" s="2">
        <v>6804</v>
      </c>
      <c r="D16" s="2">
        <v>12</v>
      </c>
      <c r="E16" s="2">
        <v>35</v>
      </c>
      <c r="F16" s="2">
        <v>341</v>
      </c>
      <c r="G16" s="2">
        <v>0</v>
      </c>
      <c r="H16" s="2" t="s">
        <v>539</v>
      </c>
      <c r="I16" s="2" t="s">
        <v>532</v>
      </c>
      <c r="J16" s="3">
        <f t="shared" si="0"/>
        <v>5.3948832035595105E-2</v>
      </c>
    </row>
    <row r="17" spans="1:10" x14ac:dyDescent="0.35">
      <c r="A17" s="2" t="s">
        <v>379</v>
      </c>
      <c r="B17" s="2">
        <v>7192</v>
      </c>
      <c r="C17" s="2">
        <v>6867</v>
      </c>
      <c r="D17" s="2">
        <v>11</v>
      </c>
      <c r="E17" s="2">
        <v>40</v>
      </c>
      <c r="F17" s="2">
        <v>274</v>
      </c>
      <c r="G17" s="2">
        <v>0</v>
      </c>
      <c r="H17" s="2" t="s">
        <v>540</v>
      </c>
      <c r="I17" s="2" t="s">
        <v>537</v>
      </c>
      <c r="J17" s="3">
        <f t="shared" si="0"/>
        <v>4.518909899888765E-2</v>
      </c>
    </row>
    <row r="18" spans="1:10" x14ac:dyDescent="0.35">
      <c r="A18" s="2" t="s">
        <v>380</v>
      </c>
      <c r="B18" s="2">
        <v>7192</v>
      </c>
      <c r="C18" s="2">
        <v>6836</v>
      </c>
      <c r="D18" s="2">
        <v>18</v>
      </c>
      <c r="E18" s="2">
        <v>42</v>
      </c>
      <c r="F18" s="2">
        <v>296</v>
      </c>
      <c r="G18" s="2">
        <v>0</v>
      </c>
      <c r="H18" s="2" t="s">
        <v>238</v>
      </c>
      <c r="I18" s="2" t="s">
        <v>186</v>
      </c>
      <c r="J18" s="3">
        <f t="shared" si="0"/>
        <v>4.9499443826473859E-2</v>
      </c>
    </row>
    <row r="19" spans="1:10" x14ac:dyDescent="0.35">
      <c r="A19" s="2" t="s">
        <v>381</v>
      </c>
      <c r="B19" s="2">
        <v>7192</v>
      </c>
      <c r="C19" s="2">
        <v>6824</v>
      </c>
      <c r="D19" s="2">
        <v>21</v>
      </c>
      <c r="E19" s="2">
        <v>33</v>
      </c>
      <c r="F19" s="2">
        <v>314</v>
      </c>
      <c r="G19" s="2">
        <v>0</v>
      </c>
      <c r="H19" s="2" t="s">
        <v>506</v>
      </c>
      <c r="I19" s="2" t="s">
        <v>198</v>
      </c>
      <c r="J19" s="3">
        <f t="shared" si="0"/>
        <v>5.116796440489433E-2</v>
      </c>
    </row>
    <row r="20" spans="1:10" x14ac:dyDescent="0.35">
      <c r="A20" s="2" t="s">
        <v>382</v>
      </c>
      <c r="B20" s="2">
        <v>7192</v>
      </c>
      <c r="C20" s="2">
        <v>6806</v>
      </c>
      <c r="D20" s="2">
        <v>17</v>
      </c>
      <c r="E20" s="2">
        <v>37</v>
      </c>
      <c r="F20" s="2">
        <v>332</v>
      </c>
      <c r="G20" s="2">
        <v>0</v>
      </c>
      <c r="H20" s="2" t="s">
        <v>220</v>
      </c>
      <c r="I20" s="2" t="s">
        <v>226</v>
      </c>
      <c r="J20" s="3">
        <f t="shared" si="0"/>
        <v>5.3670745272525029E-2</v>
      </c>
    </row>
    <row r="21" spans="1:10" x14ac:dyDescent="0.35">
      <c r="A21" s="2" t="s">
        <v>383</v>
      </c>
      <c r="B21" s="2">
        <v>7192</v>
      </c>
      <c r="C21" s="2">
        <v>6827</v>
      </c>
      <c r="D21" s="2">
        <v>19</v>
      </c>
      <c r="E21" s="2">
        <v>40</v>
      </c>
      <c r="F21" s="2">
        <v>306</v>
      </c>
      <c r="G21" s="2">
        <v>0</v>
      </c>
      <c r="H21" s="2" t="s">
        <v>541</v>
      </c>
      <c r="I21" s="2" t="s">
        <v>537</v>
      </c>
      <c r="J21" s="3">
        <f t="shared" si="0"/>
        <v>5.0750834260289208E-2</v>
      </c>
    </row>
    <row r="22" spans="1:10" x14ac:dyDescent="0.35">
      <c r="A22" s="2" t="s">
        <v>384</v>
      </c>
      <c r="B22" s="2">
        <v>7192</v>
      </c>
      <c r="C22" s="2">
        <v>6840</v>
      </c>
      <c r="D22" s="2">
        <v>14</v>
      </c>
      <c r="E22" s="2">
        <v>41</v>
      </c>
      <c r="F22" s="2">
        <v>297</v>
      </c>
      <c r="G22" s="2">
        <v>0</v>
      </c>
      <c r="H22" s="2" t="s">
        <v>216</v>
      </c>
      <c r="I22" s="2" t="s">
        <v>190</v>
      </c>
      <c r="J22" s="3">
        <f t="shared" si="0"/>
        <v>4.8943270300333706E-2</v>
      </c>
    </row>
    <row r="23" spans="1:10" x14ac:dyDescent="0.35">
      <c r="A23" s="2" t="s">
        <v>385</v>
      </c>
      <c r="B23" s="2">
        <v>7192</v>
      </c>
      <c r="C23" s="2">
        <v>6858</v>
      </c>
      <c r="D23" s="2">
        <v>10</v>
      </c>
      <c r="E23" s="2">
        <v>40</v>
      </c>
      <c r="F23" s="2">
        <v>284</v>
      </c>
      <c r="G23" s="2">
        <v>0</v>
      </c>
      <c r="H23" s="2" t="s">
        <v>232</v>
      </c>
      <c r="I23" s="2" t="s">
        <v>537</v>
      </c>
      <c r="J23" s="3">
        <f t="shared" si="0"/>
        <v>4.6440489432703E-2</v>
      </c>
    </row>
    <row r="24" spans="1:10" x14ac:dyDescent="0.35">
      <c r="A24" s="2" t="s">
        <v>387</v>
      </c>
      <c r="B24" s="2">
        <v>7192</v>
      </c>
      <c r="C24" s="2">
        <v>6783</v>
      </c>
      <c r="D24" s="2">
        <v>9</v>
      </c>
      <c r="E24" s="2">
        <v>38</v>
      </c>
      <c r="F24" s="2">
        <v>362</v>
      </c>
      <c r="G24" s="2">
        <v>0</v>
      </c>
      <c r="H24" s="2" t="s">
        <v>91</v>
      </c>
      <c r="I24" s="2" t="s">
        <v>188</v>
      </c>
      <c r="J24" s="3">
        <f t="shared" si="0"/>
        <v>5.6868743047830926E-2</v>
      </c>
    </row>
    <row r="25" spans="1:10" x14ac:dyDescent="0.35">
      <c r="A25" s="2" t="s">
        <v>388</v>
      </c>
      <c r="B25" s="2">
        <v>7192</v>
      </c>
      <c r="C25" s="2">
        <v>6832</v>
      </c>
      <c r="D25" s="2">
        <v>16</v>
      </c>
      <c r="E25" s="2">
        <v>42</v>
      </c>
      <c r="F25" s="2">
        <v>302</v>
      </c>
      <c r="G25" s="2">
        <v>0</v>
      </c>
      <c r="H25" s="2" t="s">
        <v>27</v>
      </c>
      <c r="I25" s="2" t="s">
        <v>186</v>
      </c>
      <c r="J25" s="3">
        <f t="shared" si="0"/>
        <v>5.0055617352614018E-2</v>
      </c>
    </row>
    <row r="26" spans="1:10" x14ac:dyDescent="0.35">
      <c r="A26" s="2" t="s">
        <v>390</v>
      </c>
      <c r="B26" s="2">
        <v>7192</v>
      </c>
      <c r="C26" s="2">
        <v>6834</v>
      </c>
      <c r="D26" s="2">
        <v>13</v>
      </c>
      <c r="E26" s="2">
        <v>40</v>
      </c>
      <c r="F26" s="2">
        <v>305</v>
      </c>
      <c r="G26" s="2">
        <v>0</v>
      </c>
      <c r="H26" s="2" t="s">
        <v>542</v>
      </c>
      <c r="I26" s="2" t="s">
        <v>537</v>
      </c>
      <c r="J26" s="3">
        <f t="shared" si="0"/>
        <v>4.9777530589543935E-2</v>
      </c>
    </row>
    <row r="27" spans="1:10" x14ac:dyDescent="0.35">
      <c r="A27" s="2" t="s">
        <v>391</v>
      </c>
      <c r="B27" s="2">
        <v>7192</v>
      </c>
      <c r="C27" s="2">
        <v>6816</v>
      </c>
      <c r="D27" s="2">
        <v>16</v>
      </c>
      <c r="E27" s="2">
        <v>40</v>
      </c>
      <c r="F27" s="2">
        <v>320</v>
      </c>
      <c r="G27" s="2">
        <v>0</v>
      </c>
      <c r="H27" s="2" t="s">
        <v>246</v>
      </c>
      <c r="I27" s="2" t="s">
        <v>537</v>
      </c>
      <c r="J27" s="3">
        <f t="shared" si="0"/>
        <v>5.2280311457174641E-2</v>
      </c>
    </row>
    <row r="28" spans="1:10" x14ac:dyDescent="0.35">
      <c r="A28" s="2" t="s">
        <v>392</v>
      </c>
      <c r="B28" s="2">
        <v>7192</v>
      </c>
      <c r="C28" s="2">
        <v>6847</v>
      </c>
      <c r="D28" s="2">
        <v>13</v>
      </c>
      <c r="E28" s="2">
        <v>38</v>
      </c>
      <c r="F28" s="2">
        <v>294</v>
      </c>
      <c r="G28" s="2">
        <v>0</v>
      </c>
      <c r="H28" s="2" t="s">
        <v>227</v>
      </c>
      <c r="I28" s="2" t="s">
        <v>188</v>
      </c>
      <c r="J28" s="3">
        <f t="shared" si="0"/>
        <v>4.7969966629588433E-2</v>
      </c>
    </row>
    <row r="29" spans="1:10" x14ac:dyDescent="0.35">
      <c r="A29" s="2" t="s">
        <v>394</v>
      </c>
      <c r="B29" s="2">
        <v>7192</v>
      </c>
      <c r="C29" s="2">
        <v>6703</v>
      </c>
      <c r="D29" s="2">
        <v>7</v>
      </c>
      <c r="E29" s="2">
        <v>36</v>
      </c>
      <c r="F29" s="2">
        <v>446</v>
      </c>
      <c r="G29" s="2">
        <v>0</v>
      </c>
      <c r="H29" s="2" t="s">
        <v>543</v>
      </c>
      <c r="I29" s="2" t="s">
        <v>229</v>
      </c>
      <c r="J29" s="3">
        <f t="shared" si="0"/>
        <v>6.7992213570634036E-2</v>
      </c>
    </row>
    <row r="30" spans="1:10" x14ac:dyDescent="0.35">
      <c r="A30" s="2" t="s">
        <v>395</v>
      </c>
      <c r="B30" s="2">
        <v>7192</v>
      </c>
      <c r="C30" s="2">
        <v>6798</v>
      </c>
      <c r="D30" s="2">
        <v>20</v>
      </c>
      <c r="E30" s="2">
        <v>39</v>
      </c>
      <c r="F30" s="2">
        <v>335</v>
      </c>
      <c r="G30" s="2">
        <v>0</v>
      </c>
      <c r="H30" s="2" t="s">
        <v>544</v>
      </c>
      <c r="I30" s="2" t="s">
        <v>184</v>
      </c>
      <c r="J30" s="3">
        <f t="shared" si="0"/>
        <v>5.4783092324805341E-2</v>
      </c>
    </row>
    <row r="31" spans="1:10" x14ac:dyDescent="0.35">
      <c r="A31" s="2" t="s">
        <v>396</v>
      </c>
      <c r="B31" s="2">
        <v>7192</v>
      </c>
      <c r="C31" s="2">
        <v>6827</v>
      </c>
      <c r="D31" s="2">
        <v>15</v>
      </c>
      <c r="E31" s="2">
        <v>38</v>
      </c>
      <c r="F31" s="2">
        <v>312</v>
      </c>
      <c r="G31" s="2">
        <v>0</v>
      </c>
      <c r="H31" s="2" t="s">
        <v>541</v>
      </c>
      <c r="I31" s="2" t="s">
        <v>188</v>
      </c>
      <c r="J31" s="3">
        <f t="shared" si="0"/>
        <v>5.0750834260289208E-2</v>
      </c>
    </row>
    <row r="32" spans="1:10" x14ac:dyDescent="0.35">
      <c r="A32" s="2" t="s">
        <v>397</v>
      </c>
      <c r="B32" s="2">
        <v>7192</v>
      </c>
      <c r="C32" s="2">
        <v>6802</v>
      </c>
      <c r="D32" s="2">
        <v>27</v>
      </c>
      <c r="E32" s="2">
        <v>41</v>
      </c>
      <c r="F32" s="2">
        <v>322</v>
      </c>
      <c r="G32" s="2">
        <v>0</v>
      </c>
      <c r="H32" s="2" t="s">
        <v>194</v>
      </c>
      <c r="I32" s="2" t="s">
        <v>190</v>
      </c>
      <c r="J32" s="3">
        <f t="shared" si="0"/>
        <v>5.4226918798665182E-2</v>
      </c>
    </row>
    <row r="33" spans="1:10" x14ac:dyDescent="0.35">
      <c r="A33" s="2" t="s">
        <v>398</v>
      </c>
      <c r="B33" s="2">
        <v>7192</v>
      </c>
      <c r="C33" s="2">
        <v>6810</v>
      </c>
      <c r="D33" s="2">
        <v>18</v>
      </c>
      <c r="E33" s="2">
        <v>31</v>
      </c>
      <c r="F33" s="2">
        <v>333</v>
      </c>
      <c r="G33" s="2">
        <v>0</v>
      </c>
      <c r="H33" s="2" t="s">
        <v>545</v>
      </c>
      <c r="I33" s="2" t="s">
        <v>347</v>
      </c>
      <c r="J33" s="3">
        <f t="shared" si="0"/>
        <v>5.311457174638487E-2</v>
      </c>
    </row>
    <row r="34" spans="1:10" x14ac:dyDescent="0.35">
      <c r="A34" s="2" t="s">
        <v>399</v>
      </c>
      <c r="B34" s="2">
        <v>7192</v>
      </c>
      <c r="C34" s="2">
        <v>6868</v>
      </c>
      <c r="D34" s="2">
        <v>7</v>
      </c>
      <c r="E34" s="2">
        <v>37</v>
      </c>
      <c r="F34" s="2">
        <v>280</v>
      </c>
      <c r="G34" s="2">
        <v>0</v>
      </c>
      <c r="H34" s="2" t="s">
        <v>251</v>
      </c>
      <c r="I34" s="2" t="s">
        <v>226</v>
      </c>
      <c r="J34" s="3">
        <f t="shared" si="0"/>
        <v>4.5050055617352612E-2</v>
      </c>
    </row>
    <row r="35" spans="1:10" x14ac:dyDescent="0.35">
      <c r="A35" s="2" t="s">
        <v>400</v>
      </c>
      <c r="B35" s="2">
        <v>7192</v>
      </c>
      <c r="C35" s="2">
        <v>6799</v>
      </c>
      <c r="D35" s="2">
        <v>12</v>
      </c>
      <c r="E35" s="2">
        <v>34</v>
      </c>
      <c r="F35" s="2">
        <v>347</v>
      </c>
      <c r="G35" s="2">
        <v>0</v>
      </c>
      <c r="H35" s="2" t="s">
        <v>546</v>
      </c>
      <c r="I35" s="2" t="s">
        <v>255</v>
      </c>
      <c r="J35" s="3">
        <f t="shared" si="0"/>
        <v>5.4644048943270303E-2</v>
      </c>
    </row>
    <row r="36" spans="1:10" x14ac:dyDescent="0.35">
      <c r="A36" s="2" t="s">
        <v>401</v>
      </c>
      <c r="B36" s="2">
        <v>7192</v>
      </c>
      <c r="C36" s="2">
        <v>6660</v>
      </c>
      <c r="D36" s="2">
        <v>14</v>
      </c>
      <c r="E36" s="2">
        <v>43</v>
      </c>
      <c r="F36" s="2">
        <v>475</v>
      </c>
      <c r="G36" s="2">
        <v>0</v>
      </c>
      <c r="H36" s="2" t="s">
        <v>547</v>
      </c>
      <c r="I36" s="2" t="s">
        <v>196</v>
      </c>
      <c r="J36" s="3">
        <f t="shared" si="0"/>
        <v>7.3971078976640708E-2</v>
      </c>
    </row>
    <row r="37" spans="1:10" x14ac:dyDescent="0.35">
      <c r="A37" s="2" t="s">
        <v>403</v>
      </c>
      <c r="B37" s="2">
        <v>7192</v>
      </c>
      <c r="C37" s="2">
        <v>6824</v>
      </c>
      <c r="D37" s="2">
        <v>10</v>
      </c>
      <c r="E37" s="2">
        <v>39</v>
      </c>
      <c r="F37" s="2">
        <v>319</v>
      </c>
      <c r="G37" s="2">
        <v>0</v>
      </c>
      <c r="H37" s="2" t="s">
        <v>506</v>
      </c>
      <c r="I37" s="2" t="s">
        <v>184</v>
      </c>
      <c r="J37" s="3">
        <f t="shared" si="0"/>
        <v>5.116796440489433E-2</v>
      </c>
    </row>
    <row r="38" spans="1:10" x14ac:dyDescent="0.35">
      <c r="A38" s="2" t="s">
        <v>404</v>
      </c>
      <c r="B38" s="2">
        <v>7192</v>
      </c>
      <c r="C38" s="2">
        <v>6783</v>
      </c>
      <c r="D38" s="2">
        <v>9</v>
      </c>
      <c r="E38" s="2">
        <v>40</v>
      </c>
      <c r="F38" s="2">
        <v>360</v>
      </c>
      <c r="G38" s="2">
        <v>0</v>
      </c>
      <c r="H38" s="2" t="s">
        <v>91</v>
      </c>
      <c r="I38" s="2" t="s">
        <v>537</v>
      </c>
      <c r="J38" s="3">
        <f t="shared" si="0"/>
        <v>5.6868743047830926E-2</v>
      </c>
    </row>
    <row r="39" spans="1:10" x14ac:dyDescent="0.35">
      <c r="A39" s="2" t="s">
        <v>405</v>
      </c>
      <c r="B39" s="2">
        <v>7192</v>
      </c>
      <c r="C39" s="2">
        <v>6802</v>
      </c>
      <c r="D39" s="2">
        <v>11</v>
      </c>
      <c r="E39" s="2">
        <v>38</v>
      </c>
      <c r="F39" s="2">
        <v>341</v>
      </c>
      <c r="G39" s="2">
        <v>0</v>
      </c>
      <c r="H39" s="2" t="s">
        <v>194</v>
      </c>
      <c r="I39" s="2" t="s">
        <v>188</v>
      </c>
      <c r="J39" s="3">
        <f t="shared" si="0"/>
        <v>5.4226918798665182E-2</v>
      </c>
    </row>
    <row r="40" spans="1:10" x14ac:dyDescent="0.35">
      <c r="A40" s="2" t="s">
        <v>406</v>
      </c>
      <c r="B40" s="2">
        <v>7192</v>
      </c>
      <c r="C40" s="2">
        <v>6847</v>
      </c>
      <c r="D40" s="2">
        <v>10</v>
      </c>
      <c r="E40" s="2">
        <v>43</v>
      </c>
      <c r="F40" s="2">
        <v>292</v>
      </c>
      <c r="G40" s="2">
        <v>0</v>
      </c>
      <c r="H40" s="2" t="s">
        <v>227</v>
      </c>
      <c r="I40" s="2" t="s">
        <v>196</v>
      </c>
      <c r="J40" s="3">
        <f t="shared" si="0"/>
        <v>4.7969966629588433E-2</v>
      </c>
    </row>
    <row r="41" spans="1:10" x14ac:dyDescent="0.35">
      <c r="A41" s="2" t="s">
        <v>408</v>
      </c>
      <c r="B41" s="2">
        <v>7192</v>
      </c>
      <c r="C41" s="2">
        <v>6831</v>
      </c>
      <c r="D41" s="2">
        <v>14</v>
      </c>
      <c r="E41" s="2">
        <v>41</v>
      </c>
      <c r="F41" s="2">
        <v>306</v>
      </c>
      <c r="G41" s="2">
        <v>0</v>
      </c>
      <c r="H41" s="2" t="s">
        <v>494</v>
      </c>
      <c r="I41" s="2" t="s">
        <v>190</v>
      </c>
      <c r="J41" s="3">
        <f t="shared" si="0"/>
        <v>5.0194660734149056E-2</v>
      </c>
    </row>
    <row r="42" spans="1:10" x14ac:dyDescent="0.35">
      <c r="A42" s="2" t="s">
        <v>409</v>
      </c>
      <c r="B42" s="2">
        <v>7192</v>
      </c>
      <c r="C42" s="2">
        <v>6700</v>
      </c>
      <c r="D42" s="2">
        <v>15</v>
      </c>
      <c r="E42" s="2">
        <v>33</v>
      </c>
      <c r="F42" s="2">
        <v>444</v>
      </c>
      <c r="G42" s="2">
        <v>0</v>
      </c>
      <c r="H42" s="2" t="s">
        <v>548</v>
      </c>
      <c r="I42" s="2" t="s">
        <v>198</v>
      </c>
      <c r="J42" s="3">
        <f t="shared" si="0"/>
        <v>6.8409343715239157E-2</v>
      </c>
    </row>
    <row r="43" spans="1:10" x14ac:dyDescent="0.35">
      <c r="A43" s="2" t="s">
        <v>411</v>
      </c>
      <c r="B43" s="2">
        <v>7192</v>
      </c>
      <c r="C43" s="2">
        <v>6836</v>
      </c>
      <c r="D43" s="2">
        <v>12</v>
      </c>
      <c r="E43" s="2">
        <v>42</v>
      </c>
      <c r="F43" s="2">
        <v>302</v>
      </c>
      <c r="G43" s="2">
        <v>0</v>
      </c>
      <c r="H43" s="2" t="s">
        <v>238</v>
      </c>
      <c r="I43" s="2" t="s">
        <v>186</v>
      </c>
      <c r="J43" s="3">
        <f t="shared" si="0"/>
        <v>4.9499443826473859E-2</v>
      </c>
    </row>
    <row r="44" spans="1:10" x14ac:dyDescent="0.35">
      <c r="A44" s="2" t="s">
        <v>412</v>
      </c>
      <c r="B44" s="2">
        <v>7192</v>
      </c>
      <c r="C44" s="2">
        <v>6781</v>
      </c>
      <c r="D44" s="2">
        <v>9</v>
      </c>
      <c r="E44" s="2">
        <v>39</v>
      </c>
      <c r="F44" s="2">
        <v>363</v>
      </c>
      <c r="G44" s="2">
        <v>0</v>
      </c>
      <c r="H44" s="2" t="s">
        <v>517</v>
      </c>
      <c r="I44" s="2" t="s">
        <v>184</v>
      </c>
      <c r="J44" s="3">
        <f t="shared" si="0"/>
        <v>5.7146829810901002E-2</v>
      </c>
    </row>
    <row r="45" spans="1:10" x14ac:dyDescent="0.35">
      <c r="A45" s="2" t="s">
        <v>413</v>
      </c>
      <c r="B45" s="2">
        <v>7192</v>
      </c>
      <c r="C45" s="2">
        <v>6795</v>
      </c>
      <c r="D45" s="2">
        <v>19</v>
      </c>
      <c r="E45" s="2">
        <v>36</v>
      </c>
      <c r="F45" s="2">
        <v>342</v>
      </c>
      <c r="G45" s="2">
        <v>0</v>
      </c>
      <c r="H45" s="2" t="s">
        <v>501</v>
      </c>
      <c r="I45" s="2" t="s">
        <v>229</v>
      </c>
      <c r="J45" s="3">
        <f t="shared" si="0"/>
        <v>5.5200222469410455E-2</v>
      </c>
    </row>
    <row r="46" spans="1:10" x14ac:dyDescent="0.35">
      <c r="A46" s="2" t="s">
        <v>414</v>
      </c>
      <c r="B46" s="2">
        <v>7192</v>
      </c>
      <c r="C46" s="2">
        <v>6762</v>
      </c>
      <c r="D46" s="2">
        <v>13</v>
      </c>
      <c r="E46" s="2">
        <v>38</v>
      </c>
      <c r="F46" s="2">
        <v>379</v>
      </c>
      <c r="G46" s="2">
        <v>0</v>
      </c>
      <c r="H46" s="2" t="s">
        <v>53</v>
      </c>
      <c r="I46" s="2" t="s">
        <v>188</v>
      </c>
      <c r="J46" s="3">
        <f t="shared" si="0"/>
        <v>5.978865406006674E-2</v>
      </c>
    </row>
    <row r="47" spans="1:10" x14ac:dyDescent="0.35">
      <c r="A47" s="2" t="s">
        <v>415</v>
      </c>
      <c r="B47" s="2">
        <v>7192</v>
      </c>
      <c r="C47" s="2">
        <v>6725</v>
      </c>
      <c r="D47" s="2">
        <v>22</v>
      </c>
      <c r="E47" s="2">
        <v>39</v>
      </c>
      <c r="F47" s="2">
        <v>406</v>
      </c>
      <c r="G47" s="2">
        <v>0</v>
      </c>
      <c r="H47" s="2" t="s">
        <v>250</v>
      </c>
      <c r="I47" s="2" t="s">
        <v>184</v>
      </c>
      <c r="J47" s="3">
        <f t="shared" si="0"/>
        <v>6.4933259176863184E-2</v>
      </c>
    </row>
    <row r="48" spans="1:10" x14ac:dyDescent="0.35">
      <c r="A48" s="2" t="s">
        <v>416</v>
      </c>
      <c r="B48" s="2">
        <v>7192</v>
      </c>
      <c r="C48" s="2">
        <v>6803</v>
      </c>
      <c r="D48" s="2">
        <v>13</v>
      </c>
      <c r="E48" s="2">
        <v>42</v>
      </c>
      <c r="F48" s="2">
        <v>334</v>
      </c>
      <c r="G48" s="2">
        <v>0</v>
      </c>
      <c r="H48" s="2" t="s">
        <v>185</v>
      </c>
      <c r="I48" s="2" t="s">
        <v>186</v>
      </c>
      <c r="J48" s="3">
        <f t="shared" si="0"/>
        <v>5.4087875417130143E-2</v>
      </c>
    </row>
    <row r="49" spans="1:10" x14ac:dyDescent="0.35">
      <c r="A49" s="2" t="s">
        <v>417</v>
      </c>
      <c r="B49" s="2">
        <v>7192</v>
      </c>
      <c r="C49" s="2">
        <v>6851</v>
      </c>
      <c r="D49" s="2">
        <v>12</v>
      </c>
      <c r="E49" s="2">
        <v>41</v>
      </c>
      <c r="F49" s="2">
        <v>288</v>
      </c>
      <c r="G49" s="2">
        <v>0</v>
      </c>
      <c r="H49" s="2" t="s">
        <v>549</v>
      </c>
      <c r="I49" s="2" t="s">
        <v>190</v>
      </c>
      <c r="J49" s="3">
        <f t="shared" si="0"/>
        <v>4.7413793103448273E-2</v>
      </c>
    </row>
    <row r="50" spans="1:10" x14ac:dyDescent="0.35">
      <c r="A50" s="2" t="s">
        <v>419</v>
      </c>
      <c r="B50" s="2">
        <v>7192</v>
      </c>
      <c r="C50" s="2">
        <v>6821</v>
      </c>
      <c r="D50" s="2">
        <v>16</v>
      </c>
      <c r="E50" s="2">
        <v>35</v>
      </c>
      <c r="F50" s="2">
        <v>320</v>
      </c>
      <c r="G50" s="2">
        <v>0</v>
      </c>
      <c r="H50" s="2" t="s">
        <v>193</v>
      </c>
      <c r="I50" s="2" t="s">
        <v>532</v>
      </c>
      <c r="J50" s="3">
        <f t="shared" si="0"/>
        <v>5.1585094549499444E-2</v>
      </c>
    </row>
    <row r="51" spans="1:10" x14ac:dyDescent="0.35">
      <c r="A51" s="2" t="s">
        <v>420</v>
      </c>
      <c r="B51" s="2">
        <v>7192</v>
      </c>
      <c r="C51" s="2">
        <v>6588</v>
      </c>
      <c r="D51" s="2">
        <v>16</v>
      </c>
      <c r="E51" s="2">
        <v>39</v>
      </c>
      <c r="F51" s="2">
        <v>549</v>
      </c>
      <c r="G51" s="2">
        <v>0</v>
      </c>
      <c r="H51" s="2" t="s">
        <v>550</v>
      </c>
      <c r="I51" s="2" t="s">
        <v>184</v>
      </c>
      <c r="J51" s="3">
        <f t="shared" si="0"/>
        <v>8.398220244716352E-2</v>
      </c>
    </row>
    <row r="52" spans="1:10" x14ac:dyDescent="0.35">
      <c r="A52" s="2" t="s">
        <v>422</v>
      </c>
      <c r="B52" s="2">
        <v>7192</v>
      </c>
      <c r="C52" s="2">
        <v>6849</v>
      </c>
      <c r="D52" s="2">
        <v>8</v>
      </c>
      <c r="E52" s="2">
        <v>44</v>
      </c>
      <c r="F52" s="2">
        <v>291</v>
      </c>
      <c r="G52" s="2">
        <v>0</v>
      </c>
      <c r="H52" s="2" t="s">
        <v>551</v>
      </c>
      <c r="I52" s="2" t="s">
        <v>192</v>
      </c>
      <c r="J52" s="3">
        <f t="shared" si="0"/>
        <v>4.7691879866518357E-2</v>
      </c>
    </row>
    <row r="53" spans="1:10" x14ac:dyDescent="0.35">
      <c r="A53" s="2" t="s">
        <v>423</v>
      </c>
      <c r="B53" s="2">
        <v>7192</v>
      </c>
      <c r="C53" s="2">
        <v>6818</v>
      </c>
      <c r="D53" s="2">
        <v>18</v>
      </c>
      <c r="E53" s="2">
        <v>38</v>
      </c>
      <c r="F53" s="2">
        <v>318</v>
      </c>
      <c r="G53" s="2">
        <v>0</v>
      </c>
      <c r="H53" s="2" t="s">
        <v>203</v>
      </c>
      <c r="I53" s="2" t="s">
        <v>188</v>
      </c>
      <c r="J53" s="3">
        <f t="shared" si="0"/>
        <v>5.2002224694104558E-2</v>
      </c>
    </row>
    <row r="54" spans="1:10" x14ac:dyDescent="0.35">
      <c r="A54" s="2" t="s">
        <v>424</v>
      </c>
      <c r="B54" s="2">
        <v>7192</v>
      </c>
      <c r="C54" s="2">
        <v>6847</v>
      </c>
      <c r="D54" s="2">
        <v>13</v>
      </c>
      <c r="E54" s="2">
        <v>44</v>
      </c>
      <c r="F54" s="2">
        <v>288</v>
      </c>
      <c r="G54" s="2">
        <v>0</v>
      </c>
      <c r="H54" s="2" t="s">
        <v>227</v>
      </c>
      <c r="I54" s="2" t="s">
        <v>192</v>
      </c>
      <c r="J54" s="3">
        <f t="shared" si="0"/>
        <v>4.7969966629588433E-2</v>
      </c>
    </row>
    <row r="55" spans="1:10" x14ac:dyDescent="0.35">
      <c r="A55" s="2" t="s">
        <v>426</v>
      </c>
      <c r="B55" s="2">
        <v>7192</v>
      </c>
      <c r="C55" s="2">
        <v>6785</v>
      </c>
      <c r="D55" s="2">
        <v>17</v>
      </c>
      <c r="E55" s="2">
        <v>37</v>
      </c>
      <c r="F55" s="2">
        <v>353</v>
      </c>
      <c r="G55" s="2">
        <v>0</v>
      </c>
      <c r="H55" s="2" t="s">
        <v>552</v>
      </c>
      <c r="I55" s="2" t="s">
        <v>226</v>
      </c>
      <c r="J55" s="3">
        <f t="shared" si="0"/>
        <v>5.6590656284760843E-2</v>
      </c>
    </row>
    <row r="56" spans="1:10" x14ac:dyDescent="0.35">
      <c r="A56" s="2" t="s">
        <v>428</v>
      </c>
      <c r="B56" s="2">
        <v>7192</v>
      </c>
      <c r="C56" s="2">
        <v>6835</v>
      </c>
      <c r="D56" s="2">
        <v>13</v>
      </c>
      <c r="E56" s="2">
        <v>43</v>
      </c>
      <c r="F56" s="2">
        <v>301</v>
      </c>
      <c r="G56" s="2">
        <v>0</v>
      </c>
      <c r="H56" s="2" t="s">
        <v>442</v>
      </c>
      <c r="I56" s="2" t="s">
        <v>196</v>
      </c>
      <c r="J56" s="3">
        <f t="shared" si="0"/>
        <v>4.9638487208008897E-2</v>
      </c>
    </row>
    <row r="57" spans="1:10" x14ac:dyDescent="0.35">
      <c r="A57" s="2" t="s">
        <v>429</v>
      </c>
      <c r="B57" s="2">
        <v>7192</v>
      </c>
      <c r="C57" s="2">
        <v>6772</v>
      </c>
      <c r="D57" s="2">
        <v>7</v>
      </c>
      <c r="E57" s="2">
        <v>38</v>
      </c>
      <c r="F57" s="2">
        <v>375</v>
      </c>
      <c r="G57" s="2">
        <v>0</v>
      </c>
      <c r="H57" s="2" t="s">
        <v>211</v>
      </c>
      <c r="I57" s="2" t="s">
        <v>188</v>
      </c>
      <c r="J57" s="3">
        <f t="shared" si="0"/>
        <v>5.8398220244716352E-2</v>
      </c>
    </row>
    <row r="58" spans="1:10" x14ac:dyDescent="0.35">
      <c r="A58" s="2" t="s">
        <v>430</v>
      </c>
      <c r="B58" s="2">
        <v>7192</v>
      </c>
      <c r="C58" s="2">
        <v>6851</v>
      </c>
      <c r="D58" s="2">
        <v>6</v>
      </c>
      <c r="E58" s="2">
        <v>43</v>
      </c>
      <c r="F58" s="2">
        <v>292</v>
      </c>
      <c r="G58" s="2">
        <v>0</v>
      </c>
      <c r="H58" s="2" t="s">
        <v>549</v>
      </c>
      <c r="I58" s="2" t="s">
        <v>196</v>
      </c>
      <c r="J58" s="3">
        <f t="shared" si="0"/>
        <v>4.7413793103448273E-2</v>
      </c>
    </row>
    <row r="59" spans="1:10" x14ac:dyDescent="0.35">
      <c r="A59" s="2" t="s">
        <v>431</v>
      </c>
      <c r="B59" s="2">
        <v>7192</v>
      </c>
      <c r="C59" s="2">
        <v>6794</v>
      </c>
      <c r="D59" s="2">
        <v>10</v>
      </c>
      <c r="E59" s="2">
        <v>41</v>
      </c>
      <c r="F59" s="2">
        <v>347</v>
      </c>
      <c r="G59" s="2">
        <v>0</v>
      </c>
      <c r="H59" s="2" t="s">
        <v>378</v>
      </c>
      <c r="I59" s="2" t="s">
        <v>190</v>
      </c>
      <c r="J59" s="3">
        <f t="shared" si="0"/>
        <v>5.5339265850945493E-2</v>
      </c>
    </row>
    <row r="60" spans="1:10" x14ac:dyDescent="0.35">
      <c r="A60" s="2" t="s">
        <v>432</v>
      </c>
      <c r="B60" s="2">
        <v>7192</v>
      </c>
      <c r="C60" s="2">
        <v>6748</v>
      </c>
      <c r="D60" s="2">
        <v>9</v>
      </c>
      <c r="E60" s="2">
        <v>42</v>
      </c>
      <c r="F60" s="2">
        <v>393</v>
      </c>
      <c r="G60" s="2">
        <v>0</v>
      </c>
      <c r="H60" s="2" t="s">
        <v>57</v>
      </c>
      <c r="I60" s="2" t="s">
        <v>186</v>
      </c>
      <c r="J60" s="3">
        <f t="shared" si="0"/>
        <v>6.1735261401557287E-2</v>
      </c>
    </row>
    <row r="61" spans="1:10" x14ac:dyDescent="0.35">
      <c r="A61" s="2" t="s">
        <v>433</v>
      </c>
      <c r="B61" s="2">
        <v>7192</v>
      </c>
      <c r="C61" s="2">
        <v>6809</v>
      </c>
      <c r="D61" s="2">
        <v>8</v>
      </c>
      <c r="E61" s="2">
        <v>45</v>
      </c>
      <c r="F61" s="2">
        <v>330</v>
      </c>
      <c r="G61" s="2">
        <v>0</v>
      </c>
      <c r="H61" s="2" t="s">
        <v>553</v>
      </c>
      <c r="I61" s="2" t="s">
        <v>554</v>
      </c>
      <c r="J61" s="3">
        <f t="shared" si="0"/>
        <v>5.3253615127919908E-2</v>
      </c>
    </row>
    <row r="62" spans="1:10" x14ac:dyDescent="0.35">
      <c r="A62" s="2" t="s">
        <v>434</v>
      </c>
      <c r="B62" s="2">
        <v>7192</v>
      </c>
      <c r="C62" s="2">
        <v>6742</v>
      </c>
      <c r="D62" s="2">
        <v>17</v>
      </c>
      <c r="E62" s="2">
        <v>37</v>
      </c>
      <c r="F62" s="2">
        <v>396</v>
      </c>
      <c r="G62" s="2">
        <v>0</v>
      </c>
      <c r="H62" s="2" t="s">
        <v>154</v>
      </c>
      <c r="I62" s="2" t="s">
        <v>226</v>
      </c>
      <c r="J62" s="3">
        <f t="shared" si="0"/>
        <v>6.2569521690767516E-2</v>
      </c>
    </row>
    <row r="63" spans="1:10" x14ac:dyDescent="0.35">
      <c r="A63" s="2" t="s">
        <v>435</v>
      </c>
      <c r="B63" s="2">
        <v>7192</v>
      </c>
      <c r="C63" s="2">
        <v>6785</v>
      </c>
      <c r="D63" s="2">
        <v>12</v>
      </c>
      <c r="E63" s="2">
        <v>37</v>
      </c>
      <c r="F63" s="2">
        <v>358</v>
      </c>
      <c r="G63" s="2">
        <v>0</v>
      </c>
      <c r="H63" s="2" t="s">
        <v>552</v>
      </c>
      <c r="I63" s="2" t="s">
        <v>226</v>
      </c>
      <c r="J63" s="3">
        <f t="shared" si="0"/>
        <v>5.6590656284760843E-2</v>
      </c>
    </row>
    <row r="64" spans="1:10" x14ac:dyDescent="0.35">
      <c r="A64" s="2" t="s">
        <v>436</v>
      </c>
      <c r="B64" s="2">
        <v>7192</v>
      </c>
      <c r="C64" s="2">
        <v>6808</v>
      </c>
      <c r="D64" s="2">
        <v>14</v>
      </c>
      <c r="E64" s="2">
        <v>33</v>
      </c>
      <c r="F64" s="2">
        <v>337</v>
      </c>
      <c r="G64" s="2">
        <v>0</v>
      </c>
      <c r="H64" s="2" t="s">
        <v>393</v>
      </c>
      <c r="I64" s="2" t="s">
        <v>198</v>
      </c>
      <c r="J64" s="3">
        <f t="shared" si="0"/>
        <v>5.3392658509454953E-2</v>
      </c>
    </row>
    <row r="65" spans="1:10" x14ac:dyDescent="0.35">
      <c r="A65" s="2" t="s">
        <v>437</v>
      </c>
      <c r="B65" s="2">
        <v>7192</v>
      </c>
      <c r="C65" s="2">
        <v>6804</v>
      </c>
      <c r="D65" s="2">
        <v>13</v>
      </c>
      <c r="E65" s="2">
        <v>36</v>
      </c>
      <c r="F65" s="2">
        <v>339</v>
      </c>
      <c r="G65" s="2">
        <v>0</v>
      </c>
      <c r="H65" s="2" t="s">
        <v>539</v>
      </c>
      <c r="I65" s="2" t="s">
        <v>229</v>
      </c>
      <c r="J65" s="3">
        <f t="shared" si="0"/>
        <v>5.3948832035595105E-2</v>
      </c>
    </row>
    <row r="66" spans="1:10" x14ac:dyDescent="0.35">
      <c r="A66" s="2" t="s">
        <v>438</v>
      </c>
      <c r="B66" s="2">
        <v>7192</v>
      </c>
      <c r="C66" s="2">
        <v>6772</v>
      </c>
      <c r="D66" s="2">
        <v>28</v>
      </c>
      <c r="E66" s="2">
        <v>39</v>
      </c>
      <c r="F66" s="2">
        <v>353</v>
      </c>
      <c r="G66" s="2">
        <v>0</v>
      </c>
      <c r="H66" s="2" t="s">
        <v>211</v>
      </c>
      <c r="I66" s="2" t="s">
        <v>184</v>
      </c>
      <c r="J66" s="3">
        <f t="shared" si="0"/>
        <v>5.8398220244716352E-2</v>
      </c>
    </row>
    <row r="67" spans="1:10" x14ac:dyDescent="0.35">
      <c r="A67" s="2" t="s">
        <v>439</v>
      </c>
      <c r="B67" s="2">
        <v>7192</v>
      </c>
      <c r="C67" s="2">
        <v>6808</v>
      </c>
      <c r="D67" s="2">
        <v>25</v>
      </c>
      <c r="E67" s="2">
        <v>40</v>
      </c>
      <c r="F67" s="2">
        <v>319</v>
      </c>
      <c r="G67" s="2">
        <v>0</v>
      </c>
      <c r="H67" s="2" t="s">
        <v>393</v>
      </c>
      <c r="I67" s="2" t="s">
        <v>537</v>
      </c>
      <c r="J67" s="3">
        <f t="shared" ref="J67:J91" si="1">(D67+E67+F67)/B67</f>
        <v>5.3392658509454953E-2</v>
      </c>
    </row>
    <row r="68" spans="1:10" x14ac:dyDescent="0.35">
      <c r="A68" s="2" t="s">
        <v>440</v>
      </c>
      <c r="B68" s="2">
        <v>7192</v>
      </c>
      <c r="C68" s="2">
        <v>6777</v>
      </c>
      <c r="D68" s="2">
        <v>11</v>
      </c>
      <c r="E68" s="2">
        <v>34</v>
      </c>
      <c r="F68" s="2">
        <v>370</v>
      </c>
      <c r="G68" s="2">
        <v>0</v>
      </c>
      <c r="H68" s="2" t="s">
        <v>143</v>
      </c>
      <c r="I68" s="2" t="s">
        <v>255</v>
      </c>
      <c r="J68" s="3">
        <f t="shared" si="1"/>
        <v>5.7703003337041155E-2</v>
      </c>
    </row>
    <row r="69" spans="1:10" x14ac:dyDescent="0.35">
      <c r="A69" s="2" t="s">
        <v>441</v>
      </c>
      <c r="B69" s="2">
        <v>7192</v>
      </c>
      <c r="C69" s="2">
        <v>6797</v>
      </c>
      <c r="D69" s="2">
        <v>16</v>
      </c>
      <c r="E69" s="2">
        <v>33</v>
      </c>
      <c r="F69" s="2">
        <v>346</v>
      </c>
      <c r="G69" s="2">
        <v>0</v>
      </c>
      <c r="H69" s="2" t="s">
        <v>243</v>
      </c>
      <c r="I69" s="2" t="s">
        <v>198</v>
      </c>
      <c r="J69" s="3">
        <f t="shared" si="1"/>
        <v>5.4922135706340379E-2</v>
      </c>
    </row>
    <row r="70" spans="1:10" x14ac:dyDescent="0.35">
      <c r="A70" s="2" t="s">
        <v>443</v>
      </c>
      <c r="B70" s="2">
        <v>7192</v>
      </c>
      <c r="C70" s="2">
        <v>6833</v>
      </c>
      <c r="D70" s="2">
        <v>19</v>
      </c>
      <c r="E70" s="2">
        <v>38</v>
      </c>
      <c r="F70" s="2">
        <v>302</v>
      </c>
      <c r="G70" s="2">
        <v>0</v>
      </c>
      <c r="H70" s="2" t="s">
        <v>555</v>
      </c>
      <c r="I70" s="2" t="s">
        <v>188</v>
      </c>
      <c r="J70" s="3">
        <f t="shared" si="1"/>
        <v>4.991657397107898E-2</v>
      </c>
    </row>
    <row r="71" spans="1:10" x14ac:dyDescent="0.35">
      <c r="A71" s="2" t="s">
        <v>444</v>
      </c>
      <c r="B71" s="2">
        <v>7192</v>
      </c>
      <c r="C71" s="2">
        <v>6767</v>
      </c>
      <c r="D71" s="2">
        <v>9</v>
      </c>
      <c r="E71" s="2">
        <v>37</v>
      </c>
      <c r="F71" s="2">
        <v>379</v>
      </c>
      <c r="G71" s="2">
        <v>0</v>
      </c>
      <c r="H71" s="2" t="s">
        <v>242</v>
      </c>
      <c r="I71" s="2" t="s">
        <v>226</v>
      </c>
      <c r="J71" s="3">
        <f t="shared" si="1"/>
        <v>5.9093437152391549E-2</v>
      </c>
    </row>
    <row r="72" spans="1:10" x14ac:dyDescent="0.35">
      <c r="A72" s="2" t="s">
        <v>445</v>
      </c>
      <c r="B72" s="2">
        <v>7192</v>
      </c>
      <c r="C72" s="2">
        <v>6790</v>
      </c>
      <c r="D72" s="2">
        <v>8</v>
      </c>
      <c r="E72" s="2">
        <v>39</v>
      </c>
      <c r="F72" s="2">
        <v>355</v>
      </c>
      <c r="G72" s="2">
        <v>0</v>
      </c>
      <c r="H72" s="2" t="s">
        <v>81</v>
      </c>
      <c r="I72" s="2" t="s">
        <v>184</v>
      </c>
      <c r="J72" s="3">
        <f t="shared" si="1"/>
        <v>5.5895439377085653E-2</v>
      </c>
    </row>
    <row r="73" spans="1:10" x14ac:dyDescent="0.35">
      <c r="A73" s="2" t="s">
        <v>446</v>
      </c>
      <c r="B73" s="2">
        <v>7192</v>
      </c>
      <c r="C73" s="2">
        <v>6810</v>
      </c>
      <c r="D73" s="2">
        <v>10</v>
      </c>
      <c r="E73" s="2">
        <v>36</v>
      </c>
      <c r="F73" s="2">
        <v>336</v>
      </c>
      <c r="G73" s="2">
        <v>0</v>
      </c>
      <c r="H73" s="2" t="s">
        <v>545</v>
      </c>
      <c r="I73" s="2" t="s">
        <v>229</v>
      </c>
      <c r="J73" s="3">
        <f t="shared" si="1"/>
        <v>5.311457174638487E-2</v>
      </c>
    </row>
    <row r="74" spans="1:10" x14ac:dyDescent="0.35">
      <c r="A74" s="2" t="s">
        <v>447</v>
      </c>
      <c r="B74" s="2">
        <v>7192</v>
      </c>
      <c r="C74" s="2">
        <v>6845</v>
      </c>
      <c r="D74" s="2">
        <v>12</v>
      </c>
      <c r="E74" s="2">
        <v>39</v>
      </c>
      <c r="F74" s="2">
        <v>296</v>
      </c>
      <c r="G74" s="2">
        <v>0</v>
      </c>
      <c r="H74" s="2" t="s">
        <v>25</v>
      </c>
      <c r="I74" s="2" t="s">
        <v>184</v>
      </c>
      <c r="J74" s="3">
        <f t="shared" si="1"/>
        <v>4.8248053392658509E-2</v>
      </c>
    </row>
    <row r="75" spans="1:10" x14ac:dyDescent="0.35">
      <c r="A75" s="2" t="s">
        <v>448</v>
      </c>
      <c r="B75" s="2">
        <v>7192</v>
      </c>
      <c r="C75" s="2">
        <v>6823</v>
      </c>
      <c r="D75" s="2">
        <v>8</v>
      </c>
      <c r="E75" s="2">
        <v>40</v>
      </c>
      <c r="F75" s="2">
        <v>321</v>
      </c>
      <c r="G75" s="2">
        <v>0</v>
      </c>
      <c r="H75" s="2" t="s">
        <v>248</v>
      </c>
      <c r="I75" s="2" t="s">
        <v>537</v>
      </c>
      <c r="J75" s="3">
        <f t="shared" si="1"/>
        <v>5.1307007786429368E-2</v>
      </c>
    </row>
    <row r="76" spans="1:10" x14ac:dyDescent="0.35">
      <c r="A76" s="2" t="s">
        <v>449</v>
      </c>
      <c r="B76" s="2">
        <v>7192</v>
      </c>
      <c r="C76" s="2">
        <v>6830</v>
      </c>
      <c r="D76" s="2">
        <v>6</v>
      </c>
      <c r="E76" s="2">
        <v>46</v>
      </c>
      <c r="F76" s="2">
        <v>310</v>
      </c>
      <c r="G76" s="2">
        <v>0</v>
      </c>
      <c r="H76" s="2" t="s">
        <v>556</v>
      </c>
      <c r="I76" s="2" t="s">
        <v>214</v>
      </c>
      <c r="J76" s="3">
        <f t="shared" si="1"/>
        <v>5.0333704115684094E-2</v>
      </c>
    </row>
    <row r="77" spans="1:10" x14ac:dyDescent="0.35">
      <c r="A77" s="2" t="s">
        <v>450</v>
      </c>
      <c r="B77" s="2">
        <v>7192</v>
      </c>
      <c r="C77" s="2">
        <v>6720</v>
      </c>
      <c r="D77" s="2">
        <v>18</v>
      </c>
      <c r="E77" s="2">
        <v>36</v>
      </c>
      <c r="F77" s="2">
        <v>418</v>
      </c>
      <c r="G77" s="2">
        <v>0</v>
      </c>
      <c r="H77" s="2" t="s">
        <v>114</v>
      </c>
      <c r="I77" s="2" t="s">
        <v>229</v>
      </c>
      <c r="J77" s="3">
        <f t="shared" si="1"/>
        <v>6.5628476084538381E-2</v>
      </c>
    </row>
    <row r="78" spans="1:10" x14ac:dyDescent="0.35">
      <c r="A78" s="2" t="s">
        <v>451</v>
      </c>
      <c r="B78" s="2">
        <v>7192</v>
      </c>
      <c r="C78" s="2">
        <v>6771</v>
      </c>
      <c r="D78" s="2">
        <v>17</v>
      </c>
      <c r="E78" s="2">
        <v>40</v>
      </c>
      <c r="F78" s="2">
        <v>364</v>
      </c>
      <c r="G78" s="2">
        <v>0</v>
      </c>
      <c r="H78" s="2" t="s">
        <v>189</v>
      </c>
      <c r="I78" s="2" t="s">
        <v>537</v>
      </c>
      <c r="J78" s="3">
        <f t="shared" si="1"/>
        <v>5.853726362625139E-2</v>
      </c>
    </row>
    <row r="79" spans="1:10" x14ac:dyDescent="0.35">
      <c r="A79" s="2" t="s">
        <v>452</v>
      </c>
      <c r="B79" s="2">
        <v>7192</v>
      </c>
      <c r="C79" s="2">
        <v>6804</v>
      </c>
      <c r="D79" s="2">
        <v>13</v>
      </c>
      <c r="E79" s="2">
        <v>39</v>
      </c>
      <c r="F79" s="2">
        <v>336</v>
      </c>
      <c r="G79" s="2">
        <v>0</v>
      </c>
      <c r="H79" s="2" t="s">
        <v>539</v>
      </c>
      <c r="I79" s="2" t="s">
        <v>184</v>
      </c>
      <c r="J79" s="3">
        <f t="shared" si="1"/>
        <v>5.3948832035595105E-2</v>
      </c>
    </row>
    <row r="80" spans="1:10" x14ac:dyDescent="0.35">
      <c r="A80" s="2" t="s">
        <v>453</v>
      </c>
      <c r="B80" s="2">
        <v>7192</v>
      </c>
      <c r="C80" s="2">
        <v>6761</v>
      </c>
      <c r="D80" s="2">
        <v>20</v>
      </c>
      <c r="E80" s="2">
        <v>35</v>
      </c>
      <c r="F80" s="2">
        <v>376</v>
      </c>
      <c r="G80" s="2">
        <v>0</v>
      </c>
      <c r="H80" s="2" t="s">
        <v>195</v>
      </c>
      <c r="I80" s="2" t="s">
        <v>532</v>
      </c>
      <c r="J80" s="3">
        <f t="shared" si="1"/>
        <v>5.9927697441601778E-2</v>
      </c>
    </row>
    <row r="81" spans="1:10" x14ac:dyDescent="0.35">
      <c r="A81" s="2" t="s">
        <v>454</v>
      </c>
      <c r="B81" s="2">
        <v>7192</v>
      </c>
      <c r="C81" s="2">
        <v>6681</v>
      </c>
      <c r="D81" s="2">
        <v>28</v>
      </c>
      <c r="E81" s="2">
        <v>39</v>
      </c>
      <c r="F81" s="2">
        <v>444</v>
      </c>
      <c r="G81" s="2">
        <v>0</v>
      </c>
      <c r="H81" s="2" t="s">
        <v>557</v>
      </c>
      <c r="I81" s="2" t="s">
        <v>184</v>
      </c>
      <c r="J81" s="3">
        <f t="shared" si="1"/>
        <v>7.1051167964404888E-2</v>
      </c>
    </row>
    <row r="82" spans="1:10" x14ac:dyDescent="0.35">
      <c r="A82" s="2" t="s">
        <v>455</v>
      </c>
      <c r="B82" s="2">
        <v>7192</v>
      </c>
      <c r="C82" s="2">
        <v>6808</v>
      </c>
      <c r="D82" s="2">
        <v>14</v>
      </c>
      <c r="E82" s="2">
        <v>36</v>
      </c>
      <c r="F82" s="2">
        <v>334</v>
      </c>
      <c r="G82" s="2">
        <v>0</v>
      </c>
      <c r="H82" s="2" t="s">
        <v>393</v>
      </c>
      <c r="I82" s="2" t="s">
        <v>229</v>
      </c>
      <c r="J82" s="3">
        <f t="shared" si="1"/>
        <v>5.3392658509454953E-2</v>
      </c>
    </row>
    <row r="83" spans="1:10" x14ac:dyDescent="0.35">
      <c r="A83" s="2" t="s">
        <v>456</v>
      </c>
      <c r="B83" s="2">
        <v>7192</v>
      </c>
      <c r="C83" s="2">
        <v>6836</v>
      </c>
      <c r="D83" s="2">
        <v>11</v>
      </c>
      <c r="E83" s="2">
        <v>44</v>
      </c>
      <c r="F83" s="2">
        <v>301</v>
      </c>
      <c r="G83" s="2">
        <v>0</v>
      </c>
      <c r="H83" s="2" t="s">
        <v>238</v>
      </c>
      <c r="I83" s="2" t="s">
        <v>192</v>
      </c>
      <c r="J83" s="3">
        <f t="shared" si="1"/>
        <v>4.9499443826473859E-2</v>
      </c>
    </row>
    <row r="84" spans="1:10" x14ac:dyDescent="0.35">
      <c r="A84" s="2" t="s">
        <v>457</v>
      </c>
      <c r="B84" s="2">
        <v>7192</v>
      </c>
      <c r="C84" s="2">
        <v>6784</v>
      </c>
      <c r="D84" s="2">
        <v>16</v>
      </c>
      <c r="E84" s="2">
        <v>42</v>
      </c>
      <c r="F84" s="2">
        <v>350</v>
      </c>
      <c r="G84" s="2">
        <v>0</v>
      </c>
      <c r="H84" s="2" t="s">
        <v>138</v>
      </c>
      <c r="I84" s="2" t="s">
        <v>186</v>
      </c>
      <c r="J84" s="3">
        <f t="shared" si="1"/>
        <v>5.6729699666295881E-2</v>
      </c>
    </row>
    <row r="85" spans="1:10" x14ac:dyDescent="0.35">
      <c r="A85" s="2" t="s">
        <v>458</v>
      </c>
      <c r="B85" s="2">
        <v>7192</v>
      </c>
      <c r="C85" s="2">
        <v>6862</v>
      </c>
      <c r="D85" s="2">
        <v>8</v>
      </c>
      <c r="E85" s="2">
        <v>42</v>
      </c>
      <c r="F85" s="2">
        <v>280</v>
      </c>
      <c r="G85" s="2">
        <v>0</v>
      </c>
      <c r="H85" s="2" t="s">
        <v>558</v>
      </c>
      <c r="I85" s="2" t="s">
        <v>186</v>
      </c>
      <c r="J85" s="3">
        <f t="shared" si="1"/>
        <v>4.5884315906562848E-2</v>
      </c>
    </row>
    <row r="86" spans="1:10" x14ac:dyDescent="0.35">
      <c r="A86" s="2" t="s">
        <v>460</v>
      </c>
      <c r="B86" s="2">
        <v>7192</v>
      </c>
      <c r="C86" s="2">
        <v>6823</v>
      </c>
      <c r="D86" s="2">
        <v>16</v>
      </c>
      <c r="E86" s="2">
        <v>37</v>
      </c>
      <c r="F86" s="2">
        <v>316</v>
      </c>
      <c r="G86" s="2">
        <v>0</v>
      </c>
      <c r="H86" s="2" t="s">
        <v>248</v>
      </c>
      <c r="I86" s="2" t="s">
        <v>226</v>
      </c>
      <c r="J86" s="3">
        <f t="shared" si="1"/>
        <v>5.1307007786429368E-2</v>
      </c>
    </row>
    <row r="87" spans="1:10" x14ac:dyDescent="0.35">
      <c r="A87" s="2" t="s">
        <v>461</v>
      </c>
      <c r="B87" s="2">
        <v>7192</v>
      </c>
      <c r="C87" s="2">
        <v>6800</v>
      </c>
      <c r="D87" s="2">
        <v>18</v>
      </c>
      <c r="E87" s="2">
        <v>40</v>
      </c>
      <c r="F87" s="2">
        <v>334</v>
      </c>
      <c r="G87" s="2">
        <v>0</v>
      </c>
      <c r="H87" s="2" t="s">
        <v>559</v>
      </c>
      <c r="I87" s="2" t="s">
        <v>537</v>
      </c>
      <c r="J87" s="3">
        <f t="shared" si="1"/>
        <v>5.4505005561735265E-2</v>
      </c>
    </row>
    <row r="88" spans="1:10" x14ac:dyDescent="0.35">
      <c r="A88" s="2" t="s">
        <v>462</v>
      </c>
      <c r="B88" s="2">
        <v>7192</v>
      </c>
      <c r="C88" s="2">
        <v>6749</v>
      </c>
      <c r="D88" s="2">
        <v>15</v>
      </c>
      <c r="E88" s="2">
        <v>40</v>
      </c>
      <c r="F88" s="2">
        <v>388</v>
      </c>
      <c r="G88" s="2">
        <v>0</v>
      </c>
      <c r="H88" s="2" t="s">
        <v>560</v>
      </c>
      <c r="I88" s="2" t="s">
        <v>537</v>
      </c>
      <c r="J88" s="3">
        <f t="shared" si="1"/>
        <v>6.1596218020022249E-2</v>
      </c>
    </row>
    <row r="89" spans="1:10" x14ac:dyDescent="0.35">
      <c r="A89" s="2" t="s">
        <v>463</v>
      </c>
      <c r="B89" s="2">
        <v>7192</v>
      </c>
      <c r="C89" s="2">
        <v>6736</v>
      </c>
      <c r="D89" s="2">
        <v>17</v>
      </c>
      <c r="E89" s="2">
        <v>37</v>
      </c>
      <c r="F89" s="2">
        <v>402</v>
      </c>
      <c r="G89" s="2">
        <v>0</v>
      </c>
      <c r="H89" s="2" t="s">
        <v>344</v>
      </c>
      <c r="I89" s="2" t="s">
        <v>226</v>
      </c>
      <c r="J89" s="3">
        <f t="shared" si="1"/>
        <v>6.3403781979977758E-2</v>
      </c>
    </row>
    <row r="90" spans="1:10" x14ac:dyDescent="0.35">
      <c r="A90" s="2" t="s">
        <v>464</v>
      </c>
      <c r="B90" s="2">
        <v>7192</v>
      </c>
      <c r="C90" s="2">
        <v>6734</v>
      </c>
      <c r="D90" s="2">
        <v>15</v>
      </c>
      <c r="E90" s="2">
        <v>34</v>
      </c>
      <c r="F90" s="2">
        <v>409</v>
      </c>
      <c r="G90" s="2">
        <v>0</v>
      </c>
      <c r="H90" s="2" t="s">
        <v>561</v>
      </c>
      <c r="I90" s="2" t="s">
        <v>255</v>
      </c>
      <c r="J90" s="3">
        <f t="shared" si="1"/>
        <v>6.3681868743047834E-2</v>
      </c>
    </row>
    <row r="91" spans="1:10" x14ac:dyDescent="0.35">
      <c r="A91" s="2" t="s">
        <v>465</v>
      </c>
      <c r="B91" s="2">
        <v>7192</v>
      </c>
      <c r="C91" s="2">
        <v>6800</v>
      </c>
      <c r="D91" s="2">
        <v>11</v>
      </c>
      <c r="E91" s="2">
        <v>42</v>
      </c>
      <c r="F91" s="2">
        <v>339</v>
      </c>
      <c r="G91" s="2">
        <v>0</v>
      </c>
      <c r="H91" s="2" t="s">
        <v>559</v>
      </c>
      <c r="I91" s="2" t="s">
        <v>186</v>
      </c>
      <c r="J91" s="3">
        <f t="shared" si="1"/>
        <v>5.4505005561735265E-2</v>
      </c>
    </row>
    <row r="92" spans="1:10" x14ac:dyDescent="0.35">
      <c r="A92" s="2" t="s">
        <v>652</v>
      </c>
      <c r="J92">
        <f>AVERAGE(J2:J91)</f>
        <v>5.5331541218638008E-2</v>
      </c>
    </row>
    <row r="93" spans="1:10" x14ac:dyDescent="0.35">
      <c r="A93" s="2" t="s">
        <v>653</v>
      </c>
      <c r="J93" s="5">
        <f>MEDIAN(J2:J91)</f>
        <v>5.4157397107897659E-2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3"/>
  <sheetViews>
    <sheetView tabSelected="1" workbookViewId="0">
      <pane xSplit="1" ySplit="1" topLeftCell="E71" activePane="bottomRight" state="frozen"/>
      <selection pane="topRight"/>
      <selection pane="bottomLeft"/>
      <selection pane="bottomRight" activeCell="H94" sqref="H94"/>
    </sheetView>
  </sheetViews>
  <sheetFormatPr defaultRowHeight="14.5" x14ac:dyDescent="0.35"/>
  <cols>
    <col min="1" max="1" width="32" customWidth="1"/>
    <col min="2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354</v>
      </c>
      <c r="B2" s="2">
        <v>6968</v>
      </c>
      <c r="C2" s="2">
        <v>6721</v>
      </c>
      <c r="D2" s="2">
        <v>6</v>
      </c>
      <c r="E2" s="2">
        <v>25</v>
      </c>
      <c r="F2" s="2">
        <v>216</v>
      </c>
      <c r="G2" s="2">
        <v>0</v>
      </c>
      <c r="H2" s="2" t="s">
        <v>562</v>
      </c>
      <c r="I2" s="2" t="s">
        <v>269</v>
      </c>
      <c r="J2" s="3">
        <f>(D2+E2+F2)/B2</f>
        <v>3.5447761194029849E-2</v>
      </c>
    </row>
    <row r="3" spans="1:10" x14ac:dyDescent="0.35">
      <c r="A3" s="2" t="s">
        <v>356</v>
      </c>
      <c r="B3" s="2">
        <v>6968</v>
      </c>
      <c r="C3" s="2">
        <v>5890</v>
      </c>
      <c r="D3" s="2">
        <v>13</v>
      </c>
      <c r="E3" s="2">
        <v>20</v>
      </c>
      <c r="F3" s="2">
        <v>1045</v>
      </c>
      <c r="G3" s="2">
        <v>0</v>
      </c>
      <c r="H3" s="2" t="s">
        <v>521</v>
      </c>
      <c r="I3" s="2" t="s">
        <v>267</v>
      </c>
      <c r="J3" s="3">
        <f t="shared" ref="J3:J66" si="0">(D3+E3+F3)/B3</f>
        <v>0.15470723306544201</v>
      </c>
    </row>
    <row r="4" spans="1:10" x14ac:dyDescent="0.35">
      <c r="A4" s="2" t="s">
        <v>357</v>
      </c>
      <c r="B4" s="2">
        <v>6968</v>
      </c>
      <c r="C4" s="2">
        <v>5741</v>
      </c>
      <c r="D4" s="2">
        <v>13</v>
      </c>
      <c r="E4" s="2">
        <v>18</v>
      </c>
      <c r="F4" s="2">
        <v>1196</v>
      </c>
      <c r="G4" s="2">
        <v>0</v>
      </c>
      <c r="H4" s="2" t="s">
        <v>563</v>
      </c>
      <c r="I4" s="2" t="s">
        <v>273</v>
      </c>
      <c r="J4" s="3">
        <f t="shared" si="0"/>
        <v>0.17609070034443169</v>
      </c>
    </row>
    <row r="5" spans="1:10" x14ac:dyDescent="0.35">
      <c r="A5" s="2" t="s">
        <v>358</v>
      </c>
      <c r="B5" s="2">
        <v>6968</v>
      </c>
      <c r="C5" s="2">
        <v>6361</v>
      </c>
      <c r="D5" s="2">
        <v>8</v>
      </c>
      <c r="E5" s="2">
        <v>23</v>
      </c>
      <c r="F5" s="2">
        <v>576</v>
      </c>
      <c r="G5" s="2">
        <v>0</v>
      </c>
      <c r="H5" s="2" t="s">
        <v>564</v>
      </c>
      <c r="I5" s="2" t="s">
        <v>257</v>
      </c>
      <c r="J5" s="3">
        <f t="shared" si="0"/>
        <v>8.7112514351320322E-2</v>
      </c>
    </row>
    <row r="6" spans="1:10" x14ac:dyDescent="0.35">
      <c r="A6" s="2" t="s">
        <v>359</v>
      </c>
      <c r="B6" s="2">
        <v>6968</v>
      </c>
      <c r="C6" s="2">
        <v>5862</v>
      </c>
      <c r="D6" s="2">
        <v>6</v>
      </c>
      <c r="E6" s="2">
        <v>22</v>
      </c>
      <c r="F6" s="2">
        <v>1078</v>
      </c>
      <c r="G6" s="2">
        <v>0</v>
      </c>
      <c r="H6" s="2" t="s">
        <v>565</v>
      </c>
      <c r="I6" s="2" t="s">
        <v>566</v>
      </c>
      <c r="J6" s="3">
        <f t="shared" si="0"/>
        <v>0.1587256027554535</v>
      </c>
    </row>
    <row r="7" spans="1:10" x14ac:dyDescent="0.35">
      <c r="A7" s="2" t="s">
        <v>361</v>
      </c>
      <c r="B7" s="2">
        <v>6968</v>
      </c>
      <c r="C7" s="2">
        <v>5947</v>
      </c>
      <c r="D7" s="2">
        <v>19</v>
      </c>
      <c r="E7" s="2">
        <v>22</v>
      </c>
      <c r="F7" s="2">
        <v>980</v>
      </c>
      <c r="G7" s="2">
        <v>0</v>
      </c>
      <c r="H7" s="2" t="s">
        <v>567</v>
      </c>
      <c r="I7" s="2" t="s">
        <v>566</v>
      </c>
      <c r="J7" s="3">
        <f t="shared" si="0"/>
        <v>0.14652698048220436</v>
      </c>
    </row>
    <row r="8" spans="1:10" x14ac:dyDescent="0.35">
      <c r="A8" s="2" t="s">
        <v>363</v>
      </c>
      <c r="B8" s="2">
        <v>6968</v>
      </c>
      <c r="C8" s="2">
        <v>5974</v>
      </c>
      <c r="D8" s="2">
        <v>7</v>
      </c>
      <c r="E8" s="2">
        <v>21</v>
      </c>
      <c r="F8" s="2">
        <v>966</v>
      </c>
      <c r="G8" s="2">
        <v>0</v>
      </c>
      <c r="H8" s="2" t="s">
        <v>568</v>
      </c>
      <c r="I8" s="2" t="s">
        <v>308</v>
      </c>
      <c r="J8" s="3">
        <f t="shared" si="0"/>
        <v>0.14265212399540758</v>
      </c>
    </row>
    <row r="9" spans="1:10" x14ac:dyDescent="0.35">
      <c r="A9" s="2" t="s">
        <v>365</v>
      </c>
      <c r="B9" s="2">
        <v>6968</v>
      </c>
      <c r="C9" s="2">
        <v>5912</v>
      </c>
      <c r="D9" s="2">
        <v>14</v>
      </c>
      <c r="E9" s="2">
        <v>21</v>
      </c>
      <c r="F9" s="2">
        <v>1021</v>
      </c>
      <c r="G9" s="2">
        <v>0</v>
      </c>
      <c r="H9" s="2" t="s">
        <v>569</v>
      </c>
      <c r="I9" s="2" t="s">
        <v>308</v>
      </c>
      <c r="J9" s="3">
        <f t="shared" si="0"/>
        <v>0.15154994259471871</v>
      </c>
    </row>
    <row r="10" spans="1:10" x14ac:dyDescent="0.35">
      <c r="A10" s="2" t="s">
        <v>366</v>
      </c>
      <c r="B10" s="2">
        <v>6968</v>
      </c>
      <c r="C10" s="2">
        <v>5694</v>
      </c>
      <c r="D10" s="2">
        <v>17</v>
      </c>
      <c r="E10" s="2">
        <v>19</v>
      </c>
      <c r="F10" s="2">
        <v>1238</v>
      </c>
      <c r="G10" s="2">
        <v>0</v>
      </c>
      <c r="H10" s="2" t="s">
        <v>287</v>
      </c>
      <c r="I10" s="2" t="s">
        <v>263</v>
      </c>
      <c r="J10" s="3">
        <f t="shared" si="0"/>
        <v>0.18283582089552239</v>
      </c>
    </row>
    <row r="11" spans="1:10" x14ac:dyDescent="0.35">
      <c r="A11" s="2" t="s">
        <v>368</v>
      </c>
      <c r="B11" s="2">
        <v>6968</v>
      </c>
      <c r="C11" s="2">
        <v>3772</v>
      </c>
      <c r="D11" s="2">
        <v>4</v>
      </c>
      <c r="E11" s="2">
        <v>14</v>
      </c>
      <c r="F11" s="2">
        <v>3178</v>
      </c>
      <c r="G11" s="2">
        <v>0</v>
      </c>
      <c r="H11" s="2" t="s">
        <v>570</v>
      </c>
      <c r="I11" s="2" t="s">
        <v>271</v>
      </c>
      <c r="J11" s="3">
        <f t="shared" si="0"/>
        <v>0.45866819747416765</v>
      </c>
    </row>
    <row r="12" spans="1:10" x14ac:dyDescent="0.35">
      <c r="A12" s="2" t="s">
        <v>370</v>
      </c>
      <c r="B12" s="2">
        <v>6968</v>
      </c>
      <c r="C12" s="2">
        <v>5491</v>
      </c>
      <c r="D12" s="2">
        <v>15</v>
      </c>
      <c r="E12" s="2">
        <v>24</v>
      </c>
      <c r="F12" s="2">
        <v>1438</v>
      </c>
      <c r="G12" s="2">
        <v>0</v>
      </c>
      <c r="H12" s="2" t="s">
        <v>571</v>
      </c>
      <c r="I12" s="2" t="s">
        <v>258</v>
      </c>
      <c r="J12" s="3">
        <f t="shared" si="0"/>
        <v>0.21196900114810563</v>
      </c>
    </row>
    <row r="13" spans="1:10" x14ac:dyDescent="0.35">
      <c r="A13" s="2" t="s">
        <v>372</v>
      </c>
      <c r="B13" s="2">
        <v>6968</v>
      </c>
      <c r="C13" s="2">
        <v>6363</v>
      </c>
      <c r="D13" s="2">
        <v>10</v>
      </c>
      <c r="E13" s="2">
        <v>21</v>
      </c>
      <c r="F13" s="2">
        <v>574</v>
      </c>
      <c r="G13" s="2">
        <v>0</v>
      </c>
      <c r="H13" s="2" t="s">
        <v>572</v>
      </c>
      <c r="I13" s="2" t="s">
        <v>308</v>
      </c>
      <c r="J13" s="3">
        <f t="shared" si="0"/>
        <v>8.6825487944890936E-2</v>
      </c>
    </row>
    <row r="14" spans="1:10" x14ac:dyDescent="0.35">
      <c r="A14" s="2" t="s">
        <v>374</v>
      </c>
      <c r="B14" s="2">
        <v>6968</v>
      </c>
      <c r="C14" s="2">
        <v>6239</v>
      </c>
      <c r="D14" s="2">
        <v>21</v>
      </c>
      <c r="E14" s="2">
        <v>24</v>
      </c>
      <c r="F14" s="2">
        <v>684</v>
      </c>
      <c r="G14" s="2">
        <v>0</v>
      </c>
      <c r="H14" s="2" t="s">
        <v>573</v>
      </c>
      <c r="I14" s="2" t="s">
        <v>258</v>
      </c>
      <c r="J14" s="3">
        <f t="shared" si="0"/>
        <v>0.1046211251435132</v>
      </c>
    </row>
    <row r="15" spans="1:10" x14ac:dyDescent="0.35">
      <c r="A15" s="2" t="s">
        <v>376</v>
      </c>
      <c r="B15" s="2">
        <v>6968</v>
      </c>
      <c r="C15" s="2">
        <v>5854</v>
      </c>
      <c r="D15" s="2">
        <v>20</v>
      </c>
      <c r="E15" s="2">
        <v>22</v>
      </c>
      <c r="F15" s="2">
        <v>1072</v>
      </c>
      <c r="G15" s="2">
        <v>0</v>
      </c>
      <c r="H15" s="2" t="s">
        <v>574</v>
      </c>
      <c r="I15" s="2" t="s">
        <v>566</v>
      </c>
      <c r="J15" s="3">
        <f t="shared" si="0"/>
        <v>0.15987370838117107</v>
      </c>
    </row>
    <row r="16" spans="1:10" x14ac:dyDescent="0.35">
      <c r="A16" s="2" t="s">
        <v>377</v>
      </c>
      <c r="B16" s="2">
        <v>6968</v>
      </c>
      <c r="C16" s="2">
        <v>6054</v>
      </c>
      <c r="D16" s="2">
        <v>10</v>
      </c>
      <c r="E16" s="2">
        <v>23</v>
      </c>
      <c r="F16" s="2">
        <v>881</v>
      </c>
      <c r="G16" s="2">
        <v>0</v>
      </c>
      <c r="H16" s="2" t="s">
        <v>170</v>
      </c>
      <c r="I16" s="2" t="s">
        <v>257</v>
      </c>
      <c r="J16" s="3">
        <f t="shared" si="0"/>
        <v>0.13117106773823192</v>
      </c>
    </row>
    <row r="17" spans="1:10" x14ac:dyDescent="0.35">
      <c r="A17" s="2" t="s">
        <v>379</v>
      </c>
      <c r="B17" s="2">
        <v>6968</v>
      </c>
      <c r="C17" s="2">
        <v>6527</v>
      </c>
      <c r="D17" s="2">
        <v>10</v>
      </c>
      <c r="E17" s="2">
        <v>27</v>
      </c>
      <c r="F17" s="2">
        <v>404</v>
      </c>
      <c r="G17" s="2">
        <v>0</v>
      </c>
      <c r="H17" s="2" t="s">
        <v>313</v>
      </c>
      <c r="I17" s="2" t="s">
        <v>575</v>
      </c>
      <c r="J17" s="3">
        <f t="shared" si="0"/>
        <v>6.3289322617680832E-2</v>
      </c>
    </row>
    <row r="18" spans="1:10" x14ac:dyDescent="0.35">
      <c r="A18" s="2" t="s">
        <v>380</v>
      </c>
      <c r="B18" s="2">
        <v>6968</v>
      </c>
      <c r="C18" s="2">
        <v>6471</v>
      </c>
      <c r="D18" s="2">
        <v>16</v>
      </c>
      <c r="E18" s="2">
        <v>25</v>
      </c>
      <c r="F18" s="2">
        <v>456</v>
      </c>
      <c r="G18" s="2">
        <v>0</v>
      </c>
      <c r="H18" s="2" t="s">
        <v>576</v>
      </c>
      <c r="I18" s="2" t="s">
        <v>269</v>
      </c>
      <c r="J18" s="3">
        <f t="shared" si="0"/>
        <v>7.1326061997703791E-2</v>
      </c>
    </row>
    <row r="19" spans="1:10" x14ac:dyDescent="0.35">
      <c r="A19" s="2" t="s">
        <v>381</v>
      </c>
      <c r="B19" s="2">
        <v>6968</v>
      </c>
      <c r="C19" s="2">
        <v>6278</v>
      </c>
      <c r="D19" s="2">
        <v>21</v>
      </c>
      <c r="E19" s="2">
        <v>22</v>
      </c>
      <c r="F19" s="2">
        <v>647</v>
      </c>
      <c r="G19" s="2">
        <v>0</v>
      </c>
      <c r="H19" s="2" t="s">
        <v>577</v>
      </c>
      <c r="I19" s="2" t="s">
        <v>566</v>
      </c>
      <c r="J19" s="3">
        <f t="shared" si="0"/>
        <v>9.9024110218140074E-2</v>
      </c>
    </row>
    <row r="20" spans="1:10" x14ac:dyDescent="0.35">
      <c r="A20" s="2" t="s">
        <v>382</v>
      </c>
      <c r="B20" s="2">
        <v>6968</v>
      </c>
      <c r="C20" s="2">
        <v>6180</v>
      </c>
      <c r="D20" s="2">
        <v>15</v>
      </c>
      <c r="E20" s="2">
        <v>23</v>
      </c>
      <c r="F20" s="2">
        <v>750</v>
      </c>
      <c r="G20" s="2">
        <v>0</v>
      </c>
      <c r="H20" s="2" t="s">
        <v>578</v>
      </c>
      <c r="I20" s="2" t="s">
        <v>257</v>
      </c>
      <c r="J20" s="3">
        <f t="shared" si="0"/>
        <v>0.11308840413318025</v>
      </c>
    </row>
    <row r="21" spans="1:10" x14ac:dyDescent="0.35">
      <c r="A21" s="2" t="s">
        <v>383</v>
      </c>
      <c r="B21" s="2">
        <v>6968</v>
      </c>
      <c r="C21" s="2">
        <v>6185</v>
      </c>
      <c r="D21" s="2">
        <v>16</v>
      </c>
      <c r="E21" s="2">
        <v>26</v>
      </c>
      <c r="F21" s="2">
        <v>741</v>
      </c>
      <c r="G21" s="2">
        <v>0</v>
      </c>
      <c r="H21" s="2" t="s">
        <v>579</v>
      </c>
      <c r="I21" s="2" t="s">
        <v>265</v>
      </c>
      <c r="J21" s="3">
        <f t="shared" si="0"/>
        <v>0.11237083811710677</v>
      </c>
    </row>
    <row r="22" spans="1:10" x14ac:dyDescent="0.35">
      <c r="A22" s="2" t="s">
        <v>384</v>
      </c>
      <c r="B22" s="2">
        <v>6968</v>
      </c>
      <c r="C22" s="2">
        <v>6339</v>
      </c>
      <c r="D22" s="2">
        <v>12</v>
      </c>
      <c r="E22" s="2">
        <v>29</v>
      </c>
      <c r="F22" s="2">
        <v>588</v>
      </c>
      <c r="G22" s="2">
        <v>0</v>
      </c>
      <c r="H22" s="2" t="s">
        <v>580</v>
      </c>
      <c r="I22" s="2" t="s">
        <v>581</v>
      </c>
      <c r="J22" s="3">
        <f t="shared" si="0"/>
        <v>9.0269804822043623E-2</v>
      </c>
    </row>
    <row r="23" spans="1:10" x14ac:dyDescent="0.35">
      <c r="A23" s="2" t="s">
        <v>385</v>
      </c>
      <c r="B23" s="2">
        <v>6968</v>
      </c>
      <c r="C23" s="2">
        <v>6461</v>
      </c>
      <c r="D23" s="2">
        <v>8</v>
      </c>
      <c r="E23" s="2">
        <v>23</v>
      </c>
      <c r="F23" s="2">
        <v>476</v>
      </c>
      <c r="G23" s="2">
        <v>0</v>
      </c>
      <c r="H23" s="2" t="s">
        <v>582</v>
      </c>
      <c r="I23" s="2" t="s">
        <v>257</v>
      </c>
      <c r="J23" s="3">
        <f t="shared" si="0"/>
        <v>7.2761194029850748E-2</v>
      </c>
    </row>
    <row r="24" spans="1:10" x14ac:dyDescent="0.35">
      <c r="A24" s="2" t="s">
        <v>387</v>
      </c>
      <c r="B24" s="2">
        <v>6968</v>
      </c>
      <c r="C24" s="2">
        <v>5644</v>
      </c>
      <c r="D24" s="2">
        <v>6</v>
      </c>
      <c r="E24" s="2">
        <v>19</v>
      </c>
      <c r="F24" s="2">
        <v>1299</v>
      </c>
      <c r="G24" s="2">
        <v>0</v>
      </c>
      <c r="H24" s="2" t="s">
        <v>583</v>
      </c>
      <c r="I24" s="2" t="s">
        <v>263</v>
      </c>
      <c r="J24" s="3">
        <f t="shared" si="0"/>
        <v>0.19001148105625718</v>
      </c>
    </row>
    <row r="25" spans="1:10" x14ac:dyDescent="0.35">
      <c r="A25" s="2" t="s">
        <v>388</v>
      </c>
      <c r="B25" s="2">
        <v>6968</v>
      </c>
      <c r="C25" s="2">
        <v>6383</v>
      </c>
      <c r="D25" s="2">
        <v>16</v>
      </c>
      <c r="E25" s="2">
        <v>28</v>
      </c>
      <c r="F25" s="2">
        <v>541</v>
      </c>
      <c r="G25" s="2">
        <v>0</v>
      </c>
      <c r="H25" s="2" t="s">
        <v>550</v>
      </c>
      <c r="I25" s="2" t="s">
        <v>280</v>
      </c>
      <c r="J25" s="3">
        <f t="shared" si="0"/>
        <v>8.3955223880597021E-2</v>
      </c>
    </row>
    <row r="26" spans="1:10" x14ac:dyDescent="0.35">
      <c r="A26" s="2" t="s">
        <v>390</v>
      </c>
      <c r="B26" s="2">
        <v>6968</v>
      </c>
      <c r="C26" s="2">
        <v>6239</v>
      </c>
      <c r="D26" s="2">
        <v>12</v>
      </c>
      <c r="E26" s="2">
        <v>22</v>
      </c>
      <c r="F26" s="2">
        <v>695</v>
      </c>
      <c r="G26" s="2">
        <v>0</v>
      </c>
      <c r="H26" s="2" t="s">
        <v>573</v>
      </c>
      <c r="I26" s="2" t="s">
        <v>566</v>
      </c>
      <c r="J26" s="3">
        <f t="shared" si="0"/>
        <v>0.1046211251435132</v>
      </c>
    </row>
    <row r="27" spans="1:10" x14ac:dyDescent="0.35">
      <c r="A27" s="2" t="s">
        <v>391</v>
      </c>
      <c r="B27" s="2">
        <v>6968</v>
      </c>
      <c r="C27" s="2">
        <v>6254</v>
      </c>
      <c r="D27" s="2">
        <v>14</v>
      </c>
      <c r="E27" s="2">
        <v>28</v>
      </c>
      <c r="F27" s="2">
        <v>672</v>
      </c>
      <c r="G27" s="2">
        <v>0</v>
      </c>
      <c r="H27" s="2" t="s">
        <v>477</v>
      </c>
      <c r="I27" s="2" t="s">
        <v>280</v>
      </c>
      <c r="J27" s="3">
        <f t="shared" si="0"/>
        <v>0.10246842709529276</v>
      </c>
    </row>
    <row r="28" spans="1:10" x14ac:dyDescent="0.35">
      <c r="A28" s="2" t="s">
        <v>392</v>
      </c>
      <c r="B28" s="2">
        <v>6968</v>
      </c>
      <c r="C28" s="2">
        <v>6387</v>
      </c>
      <c r="D28" s="2">
        <v>11</v>
      </c>
      <c r="E28" s="2">
        <v>23</v>
      </c>
      <c r="F28" s="2">
        <v>547</v>
      </c>
      <c r="G28" s="2">
        <v>0</v>
      </c>
      <c r="H28" s="2" t="s">
        <v>584</v>
      </c>
      <c r="I28" s="2" t="s">
        <v>257</v>
      </c>
      <c r="J28" s="3">
        <f t="shared" si="0"/>
        <v>8.3381171067738236E-2</v>
      </c>
    </row>
    <row r="29" spans="1:10" x14ac:dyDescent="0.35">
      <c r="A29" s="2" t="s">
        <v>394</v>
      </c>
      <c r="B29" s="2">
        <v>6968</v>
      </c>
      <c r="C29" s="2">
        <v>4587</v>
      </c>
      <c r="D29" s="2">
        <v>4</v>
      </c>
      <c r="E29" s="2">
        <v>16</v>
      </c>
      <c r="F29" s="2">
        <v>2361</v>
      </c>
      <c r="G29" s="2">
        <v>0</v>
      </c>
      <c r="H29" s="2" t="s">
        <v>585</v>
      </c>
      <c r="I29" s="2" t="s">
        <v>315</v>
      </c>
      <c r="J29" s="3">
        <f t="shared" si="0"/>
        <v>0.34170493685419057</v>
      </c>
    </row>
    <row r="30" spans="1:10" x14ac:dyDescent="0.35">
      <c r="A30" s="2" t="s">
        <v>395</v>
      </c>
      <c r="B30" s="2">
        <v>6968</v>
      </c>
      <c r="C30" s="2">
        <v>6158</v>
      </c>
      <c r="D30" s="2">
        <v>15</v>
      </c>
      <c r="E30" s="2">
        <v>22</v>
      </c>
      <c r="F30" s="2">
        <v>773</v>
      </c>
      <c r="G30" s="2">
        <v>0</v>
      </c>
      <c r="H30" s="2" t="s">
        <v>586</v>
      </c>
      <c r="I30" s="2" t="s">
        <v>566</v>
      </c>
      <c r="J30" s="3">
        <f t="shared" si="0"/>
        <v>0.11624569460390356</v>
      </c>
    </row>
    <row r="31" spans="1:10" x14ac:dyDescent="0.35">
      <c r="A31" s="2" t="s">
        <v>396</v>
      </c>
      <c r="B31" s="2">
        <v>6968</v>
      </c>
      <c r="C31" s="2">
        <v>6231</v>
      </c>
      <c r="D31" s="2">
        <v>11</v>
      </c>
      <c r="E31" s="2">
        <v>19</v>
      </c>
      <c r="F31" s="2">
        <v>707</v>
      </c>
      <c r="G31" s="2">
        <v>0</v>
      </c>
      <c r="H31" s="2" t="s">
        <v>587</v>
      </c>
      <c r="I31" s="2" t="s">
        <v>263</v>
      </c>
      <c r="J31" s="3">
        <f t="shared" si="0"/>
        <v>0.10576923076923077</v>
      </c>
    </row>
    <row r="32" spans="1:10" x14ac:dyDescent="0.35">
      <c r="A32" s="2" t="s">
        <v>397</v>
      </c>
      <c r="B32" s="2">
        <v>6968</v>
      </c>
      <c r="C32" s="2">
        <v>6223</v>
      </c>
      <c r="D32" s="2">
        <v>25</v>
      </c>
      <c r="E32" s="2">
        <v>26</v>
      </c>
      <c r="F32" s="2">
        <v>694</v>
      </c>
      <c r="G32" s="2">
        <v>0</v>
      </c>
      <c r="H32" s="2" t="s">
        <v>588</v>
      </c>
      <c r="I32" s="2" t="s">
        <v>265</v>
      </c>
      <c r="J32" s="3">
        <f t="shared" si="0"/>
        <v>0.10691733639494834</v>
      </c>
    </row>
    <row r="33" spans="1:10" x14ac:dyDescent="0.35">
      <c r="A33" s="2" t="s">
        <v>398</v>
      </c>
      <c r="B33" s="2">
        <v>6968</v>
      </c>
      <c r="C33" s="2">
        <v>6105</v>
      </c>
      <c r="D33" s="2">
        <v>17</v>
      </c>
      <c r="E33" s="2">
        <v>21</v>
      </c>
      <c r="F33" s="2">
        <v>825</v>
      </c>
      <c r="G33" s="2">
        <v>0</v>
      </c>
      <c r="H33" s="2" t="s">
        <v>589</v>
      </c>
      <c r="I33" s="2" t="s">
        <v>308</v>
      </c>
      <c r="J33" s="3">
        <f t="shared" si="0"/>
        <v>0.12385189437428243</v>
      </c>
    </row>
    <row r="34" spans="1:10" x14ac:dyDescent="0.35">
      <c r="A34" s="2" t="s">
        <v>399</v>
      </c>
      <c r="B34" s="2">
        <v>6968</v>
      </c>
      <c r="C34" s="2">
        <v>6522</v>
      </c>
      <c r="D34" s="2">
        <v>6</v>
      </c>
      <c r="E34" s="2">
        <v>24</v>
      </c>
      <c r="F34" s="2">
        <v>416</v>
      </c>
      <c r="G34" s="2">
        <v>0</v>
      </c>
      <c r="H34" s="2" t="s">
        <v>504</v>
      </c>
      <c r="I34" s="2" t="s">
        <v>258</v>
      </c>
      <c r="J34" s="3">
        <f t="shared" si="0"/>
        <v>6.4006888633754311E-2</v>
      </c>
    </row>
    <row r="35" spans="1:10" x14ac:dyDescent="0.35">
      <c r="A35" s="2" t="s">
        <v>400</v>
      </c>
      <c r="B35" s="2">
        <v>6968</v>
      </c>
      <c r="C35" s="2">
        <v>5993</v>
      </c>
      <c r="D35" s="2">
        <v>11</v>
      </c>
      <c r="E35" s="2">
        <v>19</v>
      </c>
      <c r="F35" s="2">
        <v>945</v>
      </c>
      <c r="G35" s="2">
        <v>0</v>
      </c>
      <c r="H35" s="2" t="s">
        <v>590</v>
      </c>
      <c r="I35" s="2" t="s">
        <v>263</v>
      </c>
      <c r="J35" s="3">
        <f t="shared" si="0"/>
        <v>0.13992537313432835</v>
      </c>
    </row>
    <row r="36" spans="1:10" x14ac:dyDescent="0.35">
      <c r="A36" s="2" t="s">
        <v>401</v>
      </c>
      <c r="B36" s="2">
        <v>6968</v>
      </c>
      <c r="C36" s="2">
        <v>4548</v>
      </c>
      <c r="D36" s="2">
        <v>12</v>
      </c>
      <c r="E36" s="2">
        <v>15</v>
      </c>
      <c r="F36" s="2">
        <v>2393</v>
      </c>
      <c r="G36" s="2">
        <v>0</v>
      </c>
      <c r="H36" s="2" t="s">
        <v>591</v>
      </c>
      <c r="I36" s="2" t="s">
        <v>592</v>
      </c>
      <c r="J36" s="3">
        <f t="shared" si="0"/>
        <v>0.34730195177956374</v>
      </c>
    </row>
    <row r="37" spans="1:10" x14ac:dyDescent="0.35">
      <c r="A37" s="2" t="s">
        <v>403</v>
      </c>
      <c r="B37" s="2">
        <v>6968</v>
      </c>
      <c r="C37" s="2">
        <v>6235</v>
      </c>
      <c r="D37" s="2">
        <v>10</v>
      </c>
      <c r="E37" s="2">
        <v>28</v>
      </c>
      <c r="F37" s="2">
        <v>695</v>
      </c>
      <c r="G37" s="2">
        <v>0</v>
      </c>
      <c r="H37" s="2" t="s">
        <v>593</v>
      </c>
      <c r="I37" s="2" t="s">
        <v>280</v>
      </c>
      <c r="J37" s="3">
        <f t="shared" si="0"/>
        <v>0.10519517795637198</v>
      </c>
    </row>
    <row r="38" spans="1:10" x14ac:dyDescent="0.35">
      <c r="A38" s="2" t="s">
        <v>404</v>
      </c>
      <c r="B38" s="2">
        <v>6968</v>
      </c>
      <c r="C38" s="2">
        <v>5767</v>
      </c>
      <c r="D38" s="2">
        <v>9</v>
      </c>
      <c r="E38" s="2">
        <v>20</v>
      </c>
      <c r="F38" s="2">
        <v>1172</v>
      </c>
      <c r="G38" s="2">
        <v>0</v>
      </c>
      <c r="H38" s="2" t="s">
        <v>594</v>
      </c>
      <c r="I38" s="2" t="s">
        <v>267</v>
      </c>
      <c r="J38" s="3">
        <f t="shared" si="0"/>
        <v>0.17235935706084959</v>
      </c>
    </row>
    <row r="39" spans="1:10" x14ac:dyDescent="0.35">
      <c r="A39" s="2" t="s">
        <v>405</v>
      </c>
      <c r="B39" s="2">
        <v>6968</v>
      </c>
      <c r="C39" s="2">
        <v>6180</v>
      </c>
      <c r="D39" s="2">
        <v>10</v>
      </c>
      <c r="E39" s="2">
        <v>22</v>
      </c>
      <c r="F39" s="2">
        <v>756</v>
      </c>
      <c r="G39" s="2">
        <v>0</v>
      </c>
      <c r="H39" s="2" t="s">
        <v>578</v>
      </c>
      <c r="I39" s="2" t="s">
        <v>566</v>
      </c>
      <c r="J39" s="3">
        <f t="shared" si="0"/>
        <v>0.11308840413318025</v>
      </c>
    </row>
    <row r="40" spans="1:10" x14ac:dyDescent="0.35">
      <c r="A40" s="2" t="s">
        <v>406</v>
      </c>
      <c r="B40" s="2">
        <v>6968</v>
      </c>
      <c r="C40" s="2">
        <v>6555</v>
      </c>
      <c r="D40" s="2">
        <v>10</v>
      </c>
      <c r="E40" s="2">
        <v>29</v>
      </c>
      <c r="F40" s="2">
        <v>374</v>
      </c>
      <c r="G40" s="2">
        <v>0</v>
      </c>
      <c r="H40" s="2" t="s">
        <v>595</v>
      </c>
      <c r="I40" s="2" t="s">
        <v>581</v>
      </c>
      <c r="J40" s="3">
        <f t="shared" si="0"/>
        <v>5.9270952927669346E-2</v>
      </c>
    </row>
    <row r="41" spans="1:10" x14ac:dyDescent="0.35">
      <c r="A41" s="2" t="s">
        <v>408</v>
      </c>
      <c r="B41" s="2">
        <v>6968</v>
      </c>
      <c r="C41" s="2">
        <v>6355</v>
      </c>
      <c r="D41" s="2">
        <v>12</v>
      </c>
      <c r="E41" s="2">
        <v>24</v>
      </c>
      <c r="F41" s="2">
        <v>577</v>
      </c>
      <c r="G41" s="2">
        <v>0</v>
      </c>
      <c r="H41" s="2" t="s">
        <v>596</v>
      </c>
      <c r="I41" s="2" t="s">
        <v>258</v>
      </c>
      <c r="J41" s="3">
        <f t="shared" si="0"/>
        <v>8.7973593570608494E-2</v>
      </c>
    </row>
    <row r="42" spans="1:10" x14ac:dyDescent="0.35">
      <c r="A42" s="2" t="s">
        <v>409</v>
      </c>
      <c r="B42" s="2">
        <v>6968</v>
      </c>
      <c r="C42" s="2">
        <v>5125</v>
      </c>
      <c r="D42" s="2">
        <v>12</v>
      </c>
      <c r="E42" s="2">
        <v>18</v>
      </c>
      <c r="F42" s="2">
        <v>1813</v>
      </c>
      <c r="G42" s="2">
        <v>0</v>
      </c>
      <c r="H42" s="2" t="s">
        <v>597</v>
      </c>
      <c r="I42" s="2" t="s">
        <v>273</v>
      </c>
      <c r="J42" s="3">
        <f t="shared" si="0"/>
        <v>0.26449483352468428</v>
      </c>
    </row>
    <row r="43" spans="1:10" x14ac:dyDescent="0.35">
      <c r="A43" s="2" t="s">
        <v>411</v>
      </c>
      <c r="B43" s="2">
        <v>6968</v>
      </c>
      <c r="C43" s="2">
        <v>6442</v>
      </c>
      <c r="D43" s="2">
        <v>11</v>
      </c>
      <c r="E43" s="2">
        <v>26</v>
      </c>
      <c r="F43" s="2">
        <v>489</v>
      </c>
      <c r="G43" s="2">
        <v>0</v>
      </c>
      <c r="H43" s="2" t="s">
        <v>123</v>
      </c>
      <c r="I43" s="2" t="s">
        <v>265</v>
      </c>
      <c r="J43" s="3">
        <f t="shared" si="0"/>
        <v>7.548794489092997E-2</v>
      </c>
    </row>
    <row r="44" spans="1:10" x14ac:dyDescent="0.35">
      <c r="A44" s="2" t="s">
        <v>412</v>
      </c>
      <c r="B44" s="2">
        <v>6968</v>
      </c>
      <c r="C44" s="2">
        <v>6034</v>
      </c>
      <c r="D44" s="2">
        <v>7</v>
      </c>
      <c r="E44" s="2">
        <v>27</v>
      </c>
      <c r="F44" s="2">
        <v>900</v>
      </c>
      <c r="G44" s="2">
        <v>0</v>
      </c>
      <c r="H44" s="2" t="s">
        <v>328</v>
      </c>
      <c r="I44" s="2" t="s">
        <v>575</v>
      </c>
      <c r="J44" s="3">
        <f t="shared" si="0"/>
        <v>0.13404133180252584</v>
      </c>
    </row>
    <row r="45" spans="1:10" x14ac:dyDescent="0.35">
      <c r="A45" s="2" t="s">
        <v>413</v>
      </c>
      <c r="B45" s="2">
        <v>6968</v>
      </c>
      <c r="C45" s="2">
        <v>6132</v>
      </c>
      <c r="D45" s="2">
        <v>15</v>
      </c>
      <c r="E45" s="2">
        <v>22</v>
      </c>
      <c r="F45" s="2">
        <v>799</v>
      </c>
      <c r="G45" s="2">
        <v>0</v>
      </c>
      <c r="H45" s="2" t="s">
        <v>598</v>
      </c>
      <c r="I45" s="2" t="s">
        <v>566</v>
      </c>
      <c r="J45" s="3">
        <f t="shared" si="0"/>
        <v>0.11997703788748565</v>
      </c>
    </row>
    <row r="46" spans="1:10" x14ac:dyDescent="0.35">
      <c r="A46" s="2" t="s">
        <v>414</v>
      </c>
      <c r="B46" s="2">
        <v>6968</v>
      </c>
      <c r="C46" s="2">
        <v>5555</v>
      </c>
      <c r="D46" s="2">
        <v>9</v>
      </c>
      <c r="E46" s="2">
        <v>20</v>
      </c>
      <c r="F46" s="2">
        <v>1384</v>
      </c>
      <c r="G46" s="2">
        <v>0</v>
      </c>
      <c r="H46" s="2" t="s">
        <v>599</v>
      </c>
      <c r="I46" s="2" t="s">
        <v>267</v>
      </c>
      <c r="J46" s="3">
        <f t="shared" si="0"/>
        <v>0.20278415614236509</v>
      </c>
    </row>
    <row r="47" spans="1:10" x14ac:dyDescent="0.35">
      <c r="A47" s="2" t="s">
        <v>415</v>
      </c>
      <c r="B47" s="2">
        <v>6968</v>
      </c>
      <c r="C47" s="2">
        <v>5482</v>
      </c>
      <c r="D47" s="2">
        <v>20</v>
      </c>
      <c r="E47" s="2">
        <v>23</v>
      </c>
      <c r="F47" s="2">
        <v>1443</v>
      </c>
      <c r="G47" s="2">
        <v>0</v>
      </c>
      <c r="H47" s="2" t="s">
        <v>600</v>
      </c>
      <c r="I47" s="2" t="s">
        <v>257</v>
      </c>
      <c r="J47" s="3">
        <f t="shared" si="0"/>
        <v>0.21326061997703788</v>
      </c>
    </row>
    <row r="48" spans="1:10" x14ac:dyDescent="0.35">
      <c r="A48" s="2" t="s">
        <v>416</v>
      </c>
      <c r="B48" s="2">
        <v>6968</v>
      </c>
      <c r="C48" s="2">
        <v>6192</v>
      </c>
      <c r="D48" s="2">
        <v>13</v>
      </c>
      <c r="E48" s="2">
        <v>22</v>
      </c>
      <c r="F48" s="2">
        <v>741</v>
      </c>
      <c r="G48" s="2">
        <v>0</v>
      </c>
      <c r="H48" s="2" t="s">
        <v>601</v>
      </c>
      <c r="I48" s="2" t="s">
        <v>566</v>
      </c>
      <c r="J48" s="3">
        <f t="shared" si="0"/>
        <v>0.1113662456946039</v>
      </c>
    </row>
    <row r="49" spans="1:10" x14ac:dyDescent="0.35">
      <c r="A49" s="2" t="s">
        <v>417</v>
      </c>
      <c r="B49" s="2">
        <v>6968</v>
      </c>
      <c r="C49" s="2">
        <v>6474</v>
      </c>
      <c r="D49" s="2">
        <v>9</v>
      </c>
      <c r="E49" s="2">
        <v>26</v>
      </c>
      <c r="F49" s="2">
        <v>459</v>
      </c>
      <c r="G49" s="2">
        <v>0</v>
      </c>
      <c r="H49" s="2" t="s">
        <v>285</v>
      </c>
      <c r="I49" s="2" t="s">
        <v>265</v>
      </c>
      <c r="J49" s="3">
        <f t="shared" si="0"/>
        <v>7.0895522388059698E-2</v>
      </c>
    </row>
    <row r="50" spans="1:10" x14ac:dyDescent="0.35">
      <c r="A50" s="2" t="s">
        <v>419</v>
      </c>
      <c r="B50" s="2">
        <v>6968</v>
      </c>
      <c r="C50" s="2">
        <v>6302</v>
      </c>
      <c r="D50" s="2">
        <v>13</v>
      </c>
      <c r="E50" s="2">
        <v>23</v>
      </c>
      <c r="F50" s="2">
        <v>630</v>
      </c>
      <c r="G50" s="2">
        <v>0</v>
      </c>
      <c r="H50" s="2" t="s">
        <v>493</v>
      </c>
      <c r="I50" s="2" t="s">
        <v>257</v>
      </c>
      <c r="J50" s="3">
        <f t="shared" si="0"/>
        <v>9.5579793340987373E-2</v>
      </c>
    </row>
    <row r="51" spans="1:10" x14ac:dyDescent="0.35">
      <c r="A51" s="2" t="s">
        <v>420</v>
      </c>
      <c r="B51" s="2">
        <v>6968</v>
      </c>
      <c r="C51" s="2">
        <v>3791</v>
      </c>
      <c r="D51" s="2">
        <v>9</v>
      </c>
      <c r="E51" s="2">
        <v>22</v>
      </c>
      <c r="F51" s="2">
        <v>3146</v>
      </c>
      <c r="G51" s="2">
        <v>0</v>
      </c>
      <c r="H51" s="2" t="s">
        <v>602</v>
      </c>
      <c r="I51" s="2" t="s">
        <v>566</v>
      </c>
      <c r="J51" s="3">
        <f t="shared" si="0"/>
        <v>0.45594144661308839</v>
      </c>
    </row>
    <row r="52" spans="1:10" x14ac:dyDescent="0.35">
      <c r="A52" s="2" t="s">
        <v>422</v>
      </c>
      <c r="B52" s="2">
        <v>6968</v>
      </c>
      <c r="C52" s="2">
        <v>6509</v>
      </c>
      <c r="D52" s="2">
        <v>7</v>
      </c>
      <c r="E52" s="2">
        <v>31</v>
      </c>
      <c r="F52" s="2">
        <v>421</v>
      </c>
      <c r="G52" s="2">
        <v>0</v>
      </c>
      <c r="H52" s="2" t="s">
        <v>603</v>
      </c>
      <c r="I52" s="2" t="s">
        <v>604</v>
      </c>
      <c r="J52" s="3">
        <f t="shared" si="0"/>
        <v>6.5872560275545347E-2</v>
      </c>
    </row>
    <row r="53" spans="1:10" x14ac:dyDescent="0.35">
      <c r="A53" s="2" t="s">
        <v>423</v>
      </c>
      <c r="B53" s="2">
        <v>6968</v>
      </c>
      <c r="C53" s="2">
        <v>6345</v>
      </c>
      <c r="D53" s="2">
        <v>17</v>
      </c>
      <c r="E53" s="2">
        <v>24</v>
      </c>
      <c r="F53" s="2">
        <v>582</v>
      </c>
      <c r="G53" s="2">
        <v>0</v>
      </c>
      <c r="H53" s="2" t="s">
        <v>605</v>
      </c>
      <c r="I53" s="2" t="s">
        <v>258</v>
      </c>
      <c r="J53" s="3">
        <f t="shared" si="0"/>
        <v>8.9408725602755451E-2</v>
      </c>
    </row>
    <row r="54" spans="1:10" x14ac:dyDescent="0.35">
      <c r="A54" s="2" t="s">
        <v>424</v>
      </c>
      <c r="B54" s="2">
        <v>6968</v>
      </c>
      <c r="C54" s="2">
        <v>6426</v>
      </c>
      <c r="D54" s="2">
        <v>13</v>
      </c>
      <c r="E54" s="2">
        <v>24</v>
      </c>
      <c r="F54" s="2">
        <v>505</v>
      </c>
      <c r="G54" s="2">
        <v>0</v>
      </c>
      <c r="H54" s="2" t="s">
        <v>495</v>
      </c>
      <c r="I54" s="2" t="s">
        <v>258</v>
      </c>
      <c r="J54" s="3">
        <f t="shared" si="0"/>
        <v>7.7784156142365099E-2</v>
      </c>
    </row>
    <row r="55" spans="1:10" x14ac:dyDescent="0.35">
      <c r="A55" s="2" t="s">
        <v>426</v>
      </c>
      <c r="B55" s="2">
        <v>6968</v>
      </c>
      <c r="C55" s="2">
        <v>5875</v>
      </c>
      <c r="D55" s="2">
        <v>14</v>
      </c>
      <c r="E55" s="2">
        <v>23</v>
      </c>
      <c r="F55" s="2">
        <v>1056</v>
      </c>
      <c r="G55" s="2">
        <v>0</v>
      </c>
      <c r="H55" s="2" t="s">
        <v>606</v>
      </c>
      <c r="I55" s="2" t="s">
        <v>257</v>
      </c>
      <c r="J55" s="3">
        <f t="shared" si="0"/>
        <v>0.15685993111366245</v>
      </c>
    </row>
    <row r="56" spans="1:10" x14ac:dyDescent="0.35">
      <c r="A56" s="2" t="s">
        <v>428</v>
      </c>
      <c r="B56" s="2">
        <v>6968</v>
      </c>
      <c r="C56" s="2">
        <v>6473</v>
      </c>
      <c r="D56" s="2">
        <v>10</v>
      </c>
      <c r="E56" s="2">
        <v>27</v>
      </c>
      <c r="F56" s="2">
        <v>458</v>
      </c>
      <c r="G56" s="2">
        <v>0</v>
      </c>
      <c r="H56" s="2" t="s">
        <v>607</v>
      </c>
      <c r="I56" s="2" t="s">
        <v>575</v>
      </c>
      <c r="J56" s="3">
        <f t="shared" si="0"/>
        <v>7.1039035591274391E-2</v>
      </c>
    </row>
    <row r="57" spans="1:10" x14ac:dyDescent="0.35">
      <c r="A57" s="2" t="s">
        <v>429</v>
      </c>
      <c r="B57" s="2">
        <v>6968</v>
      </c>
      <c r="C57" s="2">
        <v>5803</v>
      </c>
      <c r="D57" s="2">
        <v>6</v>
      </c>
      <c r="E57" s="2">
        <v>21</v>
      </c>
      <c r="F57" s="2">
        <v>1138</v>
      </c>
      <c r="G57" s="2">
        <v>0</v>
      </c>
      <c r="H57" s="2" t="s">
        <v>608</v>
      </c>
      <c r="I57" s="2" t="s">
        <v>308</v>
      </c>
      <c r="J57" s="3">
        <f t="shared" si="0"/>
        <v>0.16719288174512056</v>
      </c>
    </row>
    <row r="58" spans="1:10" x14ac:dyDescent="0.35">
      <c r="A58" s="2" t="s">
        <v>430</v>
      </c>
      <c r="B58" s="2">
        <v>6968</v>
      </c>
      <c r="C58" s="2">
        <v>6515</v>
      </c>
      <c r="D58" s="2">
        <v>5</v>
      </c>
      <c r="E58" s="2">
        <v>28</v>
      </c>
      <c r="F58" s="2">
        <v>420</v>
      </c>
      <c r="G58" s="2">
        <v>0</v>
      </c>
      <c r="H58" s="2" t="s">
        <v>475</v>
      </c>
      <c r="I58" s="2" t="s">
        <v>280</v>
      </c>
      <c r="J58" s="3">
        <f t="shared" si="0"/>
        <v>6.5011481056257175E-2</v>
      </c>
    </row>
    <row r="59" spans="1:10" x14ac:dyDescent="0.35">
      <c r="A59" s="2" t="s">
        <v>431</v>
      </c>
      <c r="B59" s="2">
        <v>6968</v>
      </c>
      <c r="C59" s="2">
        <v>6089</v>
      </c>
      <c r="D59" s="2">
        <v>8</v>
      </c>
      <c r="E59" s="2">
        <v>23</v>
      </c>
      <c r="F59" s="2">
        <v>848</v>
      </c>
      <c r="G59" s="2">
        <v>0</v>
      </c>
      <c r="H59" s="2" t="s">
        <v>609</v>
      </c>
      <c r="I59" s="2" t="s">
        <v>257</v>
      </c>
      <c r="J59" s="3">
        <f t="shared" si="0"/>
        <v>0.12614810562571757</v>
      </c>
    </row>
    <row r="60" spans="1:10" x14ac:dyDescent="0.35">
      <c r="A60" s="2" t="s">
        <v>432</v>
      </c>
      <c r="B60" s="2">
        <v>6968</v>
      </c>
      <c r="C60" s="2">
        <v>5444</v>
      </c>
      <c r="D60" s="2">
        <v>7</v>
      </c>
      <c r="E60" s="2">
        <v>20</v>
      </c>
      <c r="F60" s="2">
        <v>1497</v>
      </c>
      <c r="G60" s="2">
        <v>0</v>
      </c>
      <c r="H60" s="2" t="s">
        <v>610</v>
      </c>
      <c r="I60" s="2" t="s">
        <v>267</v>
      </c>
      <c r="J60" s="3">
        <f t="shared" si="0"/>
        <v>0.21871412169919632</v>
      </c>
    </row>
    <row r="61" spans="1:10" x14ac:dyDescent="0.35">
      <c r="A61" s="2" t="s">
        <v>433</v>
      </c>
      <c r="B61" s="2">
        <v>6968</v>
      </c>
      <c r="C61" s="2">
        <v>6124</v>
      </c>
      <c r="D61" s="2">
        <v>8</v>
      </c>
      <c r="E61" s="2">
        <v>26</v>
      </c>
      <c r="F61" s="2">
        <v>810</v>
      </c>
      <c r="G61" s="2">
        <v>0</v>
      </c>
      <c r="H61" s="2" t="s">
        <v>611</v>
      </c>
      <c r="I61" s="2" t="s">
        <v>265</v>
      </c>
      <c r="J61" s="3">
        <f t="shared" si="0"/>
        <v>0.12112514351320322</v>
      </c>
    </row>
    <row r="62" spans="1:10" x14ac:dyDescent="0.35">
      <c r="A62" s="2" t="s">
        <v>434</v>
      </c>
      <c r="B62" s="2">
        <v>6968</v>
      </c>
      <c r="C62" s="2">
        <v>5439</v>
      </c>
      <c r="D62" s="2">
        <v>15</v>
      </c>
      <c r="E62" s="2">
        <v>18</v>
      </c>
      <c r="F62" s="2">
        <v>1496</v>
      </c>
      <c r="G62" s="2">
        <v>0</v>
      </c>
      <c r="H62" s="2" t="s">
        <v>612</v>
      </c>
      <c r="I62" s="2" t="s">
        <v>273</v>
      </c>
      <c r="J62" s="3">
        <f t="shared" si="0"/>
        <v>0.2194316877152698</v>
      </c>
    </row>
    <row r="63" spans="1:10" x14ac:dyDescent="0.35">
      <c r="A63" s="2" t="s">
        <v>435</v>
      </c>
      <c r="B63" s="2">
        <v>6968</v>
      </c>
      <c r="C63" s="2">
        <v>5942</v>
      </c>
      <c r="D63" s="2">
        <v>11</v>
      </c>
      <c r="E63" s="2">
        <v>24</v>
      </c>
      <c r="F63" s="2">
        <v>991</v>
      </c>
      <c r="G63" s="2">
        <v>0</v>
      </c>
      <c r="H63" s="2" t="s">
        <v>613</v>
      </c>
      <c r="I63" s="2" t="s">
        <v>258</v>
      </c>
      <c r="J63" s="3">
        <f t="shared" si="0"/>
        <v>0.14724454649827784</v>
      </c>
    </row>
    <row r="64" spans="1:10" x14ac:dyDescent="0.35">
      <c r="A64" s="2" t="s">
        <v>436</v>
      </c>
      <c r="B64" s="2">
        <v>6968</v>
      </c>
      <c r="C64" s="2">
        <v>6137</v>
      </c>
      <c r="D64" s="2">
        <v>11</v>
      </c>
      <c r="E64" s="2">
        <v>23</v>
      </c>
      <c r="F64" s="2">
        <v>797</v>
      </c>
      <c r="G64" s="2">
        <v>0</v>
      </c>
      <c r="H64" s="2" t="s">
        <v>112</v>
      </c>
      <c r="I64" s="2" t="s">
        <v>257</v>
      </c>
      <c r="J64" s="3">
        <f t="shared" si="0"/>
        <v>0.11925947187141217</v>
      </c>
    </row>
    <row r="65" spans="1:10" x14ac:dyDescent="0.35">
      <c r="A65" s="2" t="s">
        <v>437</v>
      </c>
      <c r="B65" s="2">
        <v>6968</v>
      </c>
      <c r="C65" s="2">
        <v>6017</v>
      </c>
      <c r="D65" s="2">
        <v>9</v>
      </c>
      <c r="E65" s="2">
        <v>22</v>
      </c>
      <c r="F65" s="2">
        <v>920</v>
      </c>
      <c r="G65" s="2">
        <v>0</v>
      </c>
      <c r="H65" s="2" t="s">
        <v>614</v>
      </c>
      <c r="I65" s="2" t="s">
        <v>566</v>
      </c>
      <c r="J65" s="3">
        <f t="shared" si="0"/>
        <v>0.13648105625717566</v>
      </c>
    </row>
    <row r="66" spans="1:10" x14ac:dyDescent="0.35">
      <c r="A66" s="2" t="s">
        <v>438</v>
      </c>
      <c r="B66" s="2">
        <v>6968</v>
      </c>
      <c r="C66" s="2">
        <v>5968</v>
      </c>
      <c r="D66" s="2">
        <v>23</v>
      </c>
      <c r="E66" s="2">
        <v>21</v>
      </c>
      <c r="F66" s="2">
        <v>956</v>
      </c>
      <c r="G66" s="2">
        <v>0</v>
      </c>
      <c r="H66" s="2" t="s">
        <v>615</v>
      </c>
      <c r="I66" s="2" t="s">
        <v>308</v>
      </c>
      <c r="J66" s="3">
        <f t="shared" si="0"/>
        <v>0.14351320321469574</v>
      </c>
    </row>
    <row r="67" spans="1:10" x14ac:dyDescent="0.35">
      <c r="A67" s="2" t="s">
        <v>439</v>
      </c>
      <c r="B67" s="2">
        <v>6968</v>
      </c>
      <c r="C67" s="2">
        <v>6239</v>
      </c>
      <c r="D67" s="2">
        <v>22</v>
      </c>
      <c r="E67" s="2">
        <v>22</v>
      </c>
      <c r="F67" s="2">
        <v>685</v>
      </c>
      <c r="G67" s="2">
        <v>0</v>
      </c>
      <c r="H67" s="2" t="s">
        <v>573</v>
      </c>
      <c r="I67" s="2" t="s">
        <v>566</v>
      </c>
      <c r="J67" s="3">
        <f t="shared" ref="J67:J91" si="1">(D67+E67+F67)/B67</f>
        <v>0.1046211251435132</v>
      </c>
    </row>
    <row r="68" spans="1:10" x14ac:dyDescent="0.35">
      <c r="A68" s="2" t="s">
        <v>440</v>
      </c>
      <c r="B68" s="2">
        <v>6968</v>
      </c>
      <c r="C68" s="2">
        <v>5830</v>
      </c>
      <c r="D68" s="2">
        <v>10</v>
      </c>
      <c r="E68" s="2">
        <v>19</v>
      </c>
      <c r="F68" s="2">
        <v>1109</v>
      </c>
      <c r="G68" s="2">
        <v>0</v>
      </c>
      <c r="H68" s="2" t="s">
        <v>616</v>
      </c>
      <c r="I68" s="2" t="s">
        <v>263</v>
      </c>
      <c r="J68" s="3">
        <f t="shared" si="1"/>
        <v>0.16331802525832376</v>
      </c>
    </row>
    <row r="69" spans="1:10" x14ac:dyDescent="0.35">
      <c r="A69" s="2" t="s">
        <v>441</v>
      </c>
      <c r="B69" s="2">
        <v>6968</v>
      </c>
      <c r="C69" s="2">
        <v>5920</v>
      </c>
      <c r="D69" s="2">
        <v>14</v>
      </c>
      <c r="E69" s="2">
        <v>22</v>
      </c>
      <c r="F69" s="2">
        <v>1012</v>
      </c>
      <c r="G69" s="2">
        <v>0</v>
      </c>
      <c r="H69" s="2" t="s">
        <v>617</v>
      </c>
      <c r="I69" s="2" t="s">
        <v>566</v>
      </c>
      <c r="J69" s="3">
        <f t="shared" si="1"/>
        <v>0.15040183696900114</v>
      </c>
    </row>
    <row r="70" spans="1:10" x14ac:dyDescent="0.35">
      <c r="A70" s="2" t="s">
        <v>443</v>
      </c>
      <c r="B70" s="2">
        <v>6968</v>
      </c>
      <c r="C70" s="2">
        <v>6368</v>
      </c>
      <c r="D70" s="2">
        <v>16</v>
      </c>
      <c r="E70" s="2">
        <v>25</v>
      </c>
      <c r="F70" s="2">
        <v>559</v>
      </c>
      <c r="G70" s="2">
        <v>0</v>
      </c>
      <c r="H70" s="2" t="s">
        <v>618</v>
      </c>
      <c r="I70" s="2" t="s">
        <v>269</v>
      </c>
      <c r="J70" s="3">
        <f t="shared" si="1"/>
        <v>8.6107921928817457E-2</v>
      </c>
    </row>
    <row r="71" spans="1:10" x14ac:dyDescent="0.35">
      <c r="A71" s="2" t="s">
        <v>444</v>
      </c>
      <c r="B71" s="2">
        <v>6968</v>
      </c>
      <c r="C71" s="2">
        <v>5634</v>
      </c>
      <c r="D71" s="2">
        <v>8</v>
      </c>
      <c r="E71" s="2">
        <v>20</v>
      </c>
      <c r="F71" s="2">
        <v>1306</v>
      </c>
      <c r="G71" s="2">
        <v>0</v>
      </c>
      <c r="H71" s="2" t="s">
        <v>619</v>
      </c>
      <c r="I71" s="2" t="s">
        <v>267</v>
      </c>
      <c r="J71" s="3">
        <f t="shared" si="1"/>
        <v>0.19144661308840413</v>
      </c>
    </row>
    <row r="72" spans="1:10" x14ac:dyDescent="0.35">
      <c r="A72" s="2" t="s">
        <v>445</v>
      </c>
      <c r="B72" s="2">
        <v>6968</v>
      </c>
      <c r="C72" s="2">
        <v>5990</v>
      </c>
      <c r="D72" s="2">
        <v>7</v>
      </c>
      <c r="E72" s="2">
        <v>23</v>
      </c>
      <c r="F72" s="2">
        <v>948</v>
      </c>
      <c r="G72" s="2">
        <v>0</v>
      </c>
      <c r="H72" s="2" t="s">
        <v>620</v>
      </c>
      <c r="I72" s="2" t="s">
        <v>257</v>
      </c>
      <c r="J72" s="3">
        <f t="shared" si="1"/>
        <v>0.14035591274397244</v>
      </c>
    </row>
    <row r="73" spans="1:10" x14ac:dyDescent="0.35">
      <c r="A73" s="2" t="s">
        <v>446</v>
      </c>
      <c r="B73" s="2">
        <v>6968</v>
      </c>
      <c r="C73" s="2">
        <v>6283</v>
      </c>
      <c r="D73" s="2">
        <v>6</v>
      </c>
      <c r="E73" s="2">
        <v>21</v>
      </c>
      <c r="F73" s="2">
        <v>658</v>
      </c>
      <c r="G73" s="2">
        <v>0</v>
      </c>
      <c r="H73" s="2" t="s">
        <v>621</v>
      </c>
      <c r="I73" s="2" t="s">
        <v>308</v>
      </c>
      <c r="J73" s="3">
        <f t="shared" si="1"/>
        <v>9.8306544202066595E-2</v>
      </c>
    </row>
    <row r="74" spans="1:10" x14ac:dyDescent="0.35">
      <c r="A74" s="2" t="s">
        <v>447</v>
      </c>
      <c r="B74" s="2">
        <v>6968</v>
      </c>
      <c r="C74" s="2">
        <v>6496</v>
      </c>
      <c r="D74" s="2">
        <v>11</v>
      </c>
      <c r="E74" s="2">
        <v>26</v>
      </c>
      <c r="F74" s="2">
        <v>435</v>
      </c>
      <c r="G74" s="2">
        <v>0</v>
      </c>
      <c r="H74" s="2" t="s">
        <v>622</v>
      </c>
      <c r="I74" s="2" t="s">
        <v>265</v>
      </c>
      <c r="J74" s="3">
        <f t="shared" si="1"/>
        <v>6.7738231917336397E-2</v>
      </c>
    </row>
    <row r="75" spans="1:10" x14ac:dyDescent="0.35">
      <c r="A75" s="2" t="s">
        <v>448</v>
      </c>
      <c r="B75" s="2">
        <v>6968</v>
      </c>
      <c r="C75" s="2">
        <v>6328</v>
      </c>
      <c r="D75" s="2">
        <v>7</v>
      </c>
      <c r="E75" s="2">
        <v>27</v>
      </c>
      <c r="F75" s="2">
        <v>606</v>
      </c>
      <c r="G75" s="2">
        <v>0</v>
      </c>
      <c r="H75" s="2" t="s">
        <v>623</v>
      </c>
      <c r="I75" s="2" t="s">
        <v>575</v>
      </c>
      <c r="J75" s="3">
        <f t="shared" si="1"/>
        <v>9.1848450057405287E-2</v>
      </c>
    </row>
    <row r="76" spans="1:10" x14ac:dyDescent="0.35">
      <c r="A76" s="2" t="s">
        <v>449</v>
      </c>
      <c r="B76" s="2">
        <v>6968</v>
      </c>
      <c r="C76" s="2">
        <v>6441</v>
      </c>
      <c r="D76" s="2">
        <v>6</v>
      </c>
      <c r="E76" s="2">
        <v>30</v>
      </c>
      <c r="F76" s="2">
        <v>491</v>
      </c>
      <c r="G76" s="2">
        <v>0</v>
      </c>
      <c r="H76" s="2" t="s">
        <v>624</v>
      </c>
      <c r="I76" s="2" t="s">
        <v>347</v>
      </c>
      <c r="J76" s="3">
        <f t="shared" si="1"/>
        <v>7.5631458094144663E-2</v>
      </c>
    </row>
    <row r="77" spans="1:10" x14ac:dyDescent="0.35">
      <c r="A77" s="2" t="s">
        <v>450</v>
      </c>
      <c r="B77" s="2">
        <v>6968</v>
      </c>
      <c r="C77" s="2">
        <v>5256</v>
      </c>
      <c r="D77" s="2">
        <v>14</v>
      </c>
      <c r="E77" s="2">
        <v>16</v>
      </c>
      <c r="F77" s="2">
        <v>1682</v>
      </c>
      <c r="G77" s="2">
        <v>0</v>
      </c>
      <c r="H77" s="2" t="s">
        <v>625</v>
      </c>
      <c r="I77" s="2" t="s">
        <v>315</v>
      </c>
      <c r="J77" s="3">
        <f t="shared" si="1"/>
        <v>0.24569460390355913</v>
      </c>
    </row>
    <row r="78" spans="1:10" x14ac:dyDescent="0.35">
      <c r="A78" s="2" t="s">
        <v>451</v>
      </c>
      <c r="B78" s="2">
        <v>6968</v>
      </c>
      <c r="C78" s="2">
        <v>6071</v>
      </c>
      <c r="D78" s="2">
        <v>16</v>
      </c>
      <c r="E78" s="2">
        <v>22</v>
      </c>
      <c r="F78" s="2">
        <v>859</v>
      </c>
      <c r="G78" s="2">
        <v>0</v>
      </c>
      <c r="H78" s="2" t="s">
        <v>626</v>
      </c>
      <c r="I78" s="2" t="s">
        <v>566</v>
      </c>
      <c r="J78" s="3">
        <f t="shared" si="1"/>
        <v>0.1287313432835821</v>
      </c>
    </row>
    <row r="79" spans="1:10" x14ac:dyDescent="0.35">
      <c r="A79" s="2" t="s">
        <v>452</v>
      </c>
      <c r="B79" s="2">
        <v>6968</v>
      </c>
      <c r="C79" s="2">
        <v>6060</v>
      </c>
      <c r="D79" s="2">
        <v>13</v>
      </c>
      <c r="E79" s="2">
        <v>25</v>
      </c>
      <c r="F79" s="2">
        <v>870</v>
      </c>
      <c r="G79" s="2">
        <v>0</v>
      </c>
      <c r="H79" s="2" t="s">
        <v>627</v>
      </c>
      <c r="I79" s="2" t="s">
        <v>269</v>
      </c>
      <c r="J79" s="3">
        <f t="shared" si="1"/>
        <v>0.13030998851894374</v>
      </c>
    </row>
    <row r="80" spans="1:10" x14ac:dyDescent="0.35">
      <c r="A80" s="2" t="s">
        <v>453</v>
      </c>
      <c r="B80" s="2">
        <v>6968</v>
      </c>
      <c r="C80" s="2">
        <v>5595</v>
      </c>
      <c r="D80" s="2">
        <v>15</v>
      </c>
      <c r="E80" s="2">
        <v>20</v>
      </c>
      <c r="F80" s="2">
        <v>1338</v>
      </c>
      <c r="G80" s="2">
        <v>0</v>
      </c>
      <c r="H80" s="2" t="s">
        <v>628</v>
      </c>
      <c r="I80" s="2" t="s">
        <v>267</v>
      </c>
      <c r="J80" s="3">
        <f t="shared" si="1"/>
        <v>0.19704362801377726</v>
      </c>
    </row>
    <row r="81" spans="1:10" x14ac:dyDescent="0.35">
      <c r="A81" s="2" t="s">
        <v>454</v>
      </c>
      <c r="B81" s="2">
        <v>6968</v>
      </c>
      <c r="C81" s="2">
        <v>4874</v>
      </c>
      <c r="D81" s="2">
        <v>18</v>
      </c>
      <c r="E81" s="2">
        <v>22</v>
      </c>
      <c r="F81" s="2">
        <v>2054</v>
      </c>
      <c r="G81" s="2">
        <v>0</v>
      </c>
      <c r="H81" s="2" t="s">
        <v>629</v>
      </c>
      <c r="I81" s="2" t="s">
        <v>566</v>
      </c>
      <c r="J81" s="3">
        <f t="shared" si="1"/>
        <v>0.30051664753157292</v>
      </c>
    </row>
    <row r="82" spans="1:10" x14ac:dyDescent="0.35">
      <c r="A82" s="2" t="s">
        <v>455</v>
      </c>
      <c r="B82" s="2">
        <v>6968</v>
      </c>
      <c r="C82" s="2">
        <v>6305</v>
      </c>
      <c r="D82" s="2">
        <v>11</v>
      </c>
      <c r="E82" s="2">
        <v>24</v>
      </c>
      <c r="F82" s="2">
        <v>628</v>
      </c>
      <c r="G82" s="2">
        <v>0</v>
      </c>
      <c r="H82" s="2" t="s">
        <v>630</v>
      </c>
      <c r="I82" s="2" t="s">
        <v>258</v>
      </c>
      <c r="J82" s="3">
        <f t="shared" si="1"/>
        <v>9.5149253731343281E-2</v>
      </c>
    </row>
    <row r="83" spans="1:10" x14ac:dyDescent="0.35">
      <c r="A83" s="2" t="s">
        <v>456</v>
      </c>
      <c r="B83" s="2">
        <v>6968</v>
      </c>
      <c r="C83" s="2">
        <v>6511</v>
      </c>
      <c r="D83" s="2">
        <v>11</v>
      </c>
      <c r="E83" s="2">
        <v>30</v>
      </c>
      <c r="F83" s="2">
        <v>416</v>
      </c>
      <c r="G83" s="2">
        <v>0</v>
      </c>
      <c r="H83" s="2" t="s">
        <v>114</v>
      </c>
      <c r="I83" s="2" t="s">
        <v>347</v>
      </c>
      <c r="J83" s="3">
        <f t="shared" si="1"/>
        <v>6.5585533869115961E-2</v>
      </c>
    </row>
    <row r="84" spans="1:10" x14ac:dyDescent="0.35">
      <c r="A84" s="2" t="s">
        <v>457</v>
      </c>
      <c r="B84" s="2">
        <v>6968</v>
      </c>
      <c r="C84" s="2">
        <v>6160</v>
      </c>
      <c r="D84" s="2">
        <v>15</v>
      </c>
      <c r="E84" s="2">
        <v>25</v>
      </c>
      <c r="F84" s="2">
        <v>768</v>
      </c>
      <c r="G84" s="2">
        <v>0</v>
      </c>
      <c r="H84" s="2" t="s">
        <v>631</v>
      </c>
      <c r="I84" s="2" t="s">
        <v>269</v>
      </c>
      <c r="J84" s="3">
        <f t="shared" si="1"/>
        <v>0.11595866819747416</v>
      </c>
    </row>
    <row r="85" spans="1:10" x14ac:dyDescent="0.35">
      <c r="A85" s="2" t="s">
        <v>458</v>
      </c>
      <c r="B85" s="2">
        <v>6968</v>
      </c>
      <c r="C85" s="2">
        <v>6627</v>
      </c>
      <c r="D85" s="2">
        <v>8</v>
      </c>
      <c r="E85" s="2">
        <v>28</v>
      </c>
      <c r="F85" s="2">
        <v>305</v>
      </c>
      <c r="G85" s="2">
        <v>0</v>
      </c>
      <c r="H85" s="2" t="s">
        <v>216</v>
      </c>
      <c r="I85" s="2" t="s">
        <v>280</v>
      </c>
      <c r="J85" s="3">
        <f t="shared" si="1"/>
        <v>4.8938002296211251E-2</v>
      </c>
    </row>
    <row r="86" spans="1:10" x14ac:dyDescent="0.35">
      <c r="A86" s="2" t="s">
        <v>460</v>
      </c>
      <c r="B86" s="2">
        <v>6968</v>
      </c>
      <c r="C86" s="2">
        <v>6309</v>
      </c>
      <c r="D86" s="2">
        <v>15</v>
      </c>
      <c r="E86" s="2">
        <v>24</v>
      </c>
      <c r="F86" s="2">
        <v>620</v>
      </c>
      <c r="G86" s="2">
        <v>0</v>
      </c>
      <c r="H86" s="2" t="s">
        <v>632</v>
      </c>
      <c r="I86" s="2" t="s">
        <v>258</v>
      </c>
      <c r="J86" s="3">
        <f t="shared" si="1"/>
        <v>9.4575200918484495E-2</v>
      </c>
    </row>
    <row r="87" spans="1:10" x14ac:dyDescent="0.35">
      <c r="A87" s="2" t="s">
        <v>461</v>
      </c>
      <c r="B87" s="2">
        <v>6968</v>
      </c>
      <c r="C87" s="2">
        <v>6012</v>
      </c>
      <c r="D87" s="2">
        <v>13</v>
      </c>
      <c r="E87" s="2">
        <v>22</v>
      </c>
      <c r="F87" s="2">
        <v>921</v>
      </c>
      <c r="G87" s="2">
        <v>0</v>
      </c>
      <c r="H87" s="2" t="s">
        <v>633</v>
      </c>
      <c r="I87" s="2" t="s">
        <v>566</v>
      </c>
      <c r="J87" s="3">
        <f t="shared" si="1"/>
        <v>0.13719862227324914</v>
      </c>
    </row>
    <row r="88" spans="1:10" x14ac:dyDescent="0.35">
      <c r="A88" s="2" t="s">
        <v>462</v>
      </c>
      <c r="B88" s="2">
        <v>6968</v>
      </c>
      <c r="C88" s="2">
        <v>5626</v>
      </c>
      <c r="D88" s="2">
        <v>13</v>
      </c>
      <c r="E88" s="2">
        <v>17</v>
      </c>
      <c r="F88" s="2">
        <v>1312</v>
      </c>
      <c r="G88" s="2">
        <v>0</v>
      </c>
      <c r="H88" s="2" t="s">
        <v>634</v>
      </c>
      <c r="I88" s="2" t="s">
        <v>300</v>
      </c>
      <c r="J88" s="3">
        <f t="shared" si="1"/>
        <v>0.1925947187141217</v>
      </c>
    </row>
    <row r="89" spans="1:10" x14ac:dyDescent="0.35">
      <c r="A89" s="2" t="s">
        <v>463</v>
      </c>
      <c r="B89" s="2">
        <v>6968</v>
      </c>
      <c r="C89" s="2">
        <v>5639</v>
      </c>
      <c r="D89" s="2">
        <v>14</v>
      </c>
      <c r="E89" s="2">
        <v>24</v>
      </c>
      <c r="F89" s="2">
        <v>1291</v>
      </c>
      <c r="G89" s="2">
        <v>0</v>
      </c>
      <c r="H89" s="2" t="s">
        <v>635</v>
      </c>
      <c r="I89" s="2" t="s">
        <v>258</v>
      </c>
      <c r="J89" s="3">
        <f t="shared" si="1"/>
        <v>0.19072904707233065</v>
      </c>
    </row>
    <row r="90" spans="1:10" x14ac:dyDescent="0.35">
      <c r="A90" s="2" t="s">
        <v>464</v>
      </c>
      <c r="B90" s="2">
        <v>6968</v>
      </c>
      <c r="C90" s="2">
        <v>5318</v>
      </c>
      <c r="D90" s="2">
        <v>11</v>
      </c>
      <c r="E90" s="2">
        <v>21</v>
      </c>
      <c r="F90" s="2">
        <v>1618</v>
      </c>
      <c r="G90" s="2">
        <v>0</v>
      </c>
      <c r="H90" s="2" t="s">
        <v>636</v>
      </c>
      <c r="I90" s="2" t="s">
        <v>308</v>
      </c>
      <c r="J90" s="3">
        <f t="shared" si="1"/>
        <v>0.236796785304248</v>
      </c>
    </row>
    <row r="91" spans="1:10" x14ac:dyDescent="0.35">
      <c r="A91" s="2" t="s">
        <v>465</v>
      </c>
      <c r="B91" s="2">
        <v>6968</v>
      </c>
      <c r="C91" s="2">
        <v>6195</v>
      </c>
      <c r="D91" s="2">
        <v>10</v>
      </c>
      <c r="E91" s="2">
        <v>26</v>
      </c>
      <c r="F91" s="2">
        <v>737</v>
      </c>
      <c r="G91" s="2">
        <v>0</v>
      </c>
      <c r="H91" s="2" t="s">
        <v>637</v>
      </c>
      <c r="I91" s="2" t="s">
        <v>265</v>
      </c>
      <c r="J91" s="3">
        <f t="shared" si="1"/>
        <v>0.11093570608495981</v>
      </c>
    </row>
    <row r="92" spans="1:10" x14ac:dyDescent="0.35">
      <c r="A92" s="2" t="s">
        <v>652</v>
      </c>
      <c r="J92">
        <f>AVERAGE(J2:J91)</f>
        <v>0.13987115703533612</v>
      </c>
    </row>
    <row r="93" spans="1:10" x14ac:dyDescent="0.35">
      <c r="A93" s="2" t="s">
        <v>653</v>
      </c>
      <c r="J93" s="5">
        <f>MEDIAN(J2:J91)</f>
        <v>0.11961825487944891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2" customWidth="1"/>
    <col min="2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638</v>
      </c>
      <c r="B2" s="2">
        <v>1130</v>
      </c>
      <c r="C2" s="2">
        <v>993</v>
      </c>
      <c r="D2" s="2">
        <v>2</v>
      </c>
      <c r="E2" s="2">
        <v>9</v>
      </c>
      <c r="F2" s="2">
        <v>126</v>
      </c>
      <c r="G2" s="2">
        <v>0</v>
      </c>
      <c r="H2" s="2">
        <v>0.87880000000000003</v>
      </c>
      <c r="I2" s="2">
        <v>8.0000000000000002E-3</v>
      </c>
      <c r="J2" s="2">
        <v>0.1212</v>
      </c>
    </row>
    <row r="3" spans="1:10" x14ac:dyDescent="0.35">
      <c r="A3" s="2" t="s">
        <v>639</v>
      </c>
      <c r="B3" s="2">
        <v>1130</v>
      </c>
      <c r="C3" s="2">
        <v>1108</v>
      </c>
      <c r="D3" s="2">
        <v>0</v>
      </c>
      <c r="E3" s="2">
        <v>11</v>
      </c>
      <c r="F3" s="2">
        <v>11</v>
      </c>
      <c r="G3" s="2">
        <v>0</v>
      </c>
      <c r="H3" s="2">
        <v>0.98050000000000004</v>
      </c>
      <c r="I3" s="2">
        <v>9.7000000000000003E-3</v>
      </c>
      <c r="J3" s="2">
        <v>1.95E-2</v>
      </c>
    </row>
    <row r="4" spans="1:10" x14ac:dyDescent="0.35">
      <c r="A4" s="2" t="s">
        <v>640</v>
      </c>
      <c r="B4" s="2">
        <v>1130</v>
      </c>
      <c r="C4" s="2">
        <v>1109</v>
      </c>
      <c r="D4" s="2">
        <v>2</v>
      </c>
      <c r="E4" s="2">
        <v>11</v>
      </c>
      <c r="F4" s="2">
        <v>8</v>
      </c>
      <c r="G4" s="2">
        <v>0</v>
      </c>
      <c r="H4" s="2">
        <v>0.98140000000000005</v>
      </c>
      <c r="I4" s="2">
        <v>9.7000000000000003E-3</v>
      </c>
      <c r="J4" s="2">
        <v>1.8599999999999998E-2</v>
      </c>
    </row>
    <row r="5" spans="1:10" x14ac:dyDescent="0.35">
      <c r="A5" s="2" t="s">
        <v>641</v>
      </c>
      <c r="B5" s="2">
        <v>1130</v>
      </c>
      <c r="C5" s="2">
        <v>1109</v>
      </c>
      <c r="D5" s="2">
        <v>0</v>
      </c>
      <c r="E5" s="2">
        <v>9</v>
      </c>
      <c r="F5" s="2">
        <v>12</v>
      </c>
      <c r="G5" s="2">
        <v>0</v>
      </c>
      <c r="H5" s="2">
        <v>0.98140000000000005</v>
      </c>
      <c r="I5" s="2">
        <v>8.0000000000000002E-3</v>
      </c>
      <c r="J5" s="2">
        <v>1.8599999999999998E-2</v>
      </c>
    </row>
    <row r="6" spans="1:10" x14ac:dyDescent="0.35">
      <c r="A6" s="2" t="s">
        <v>642</v>
      </c>
      <c r="B6" s="2">
        <v>1130</v>
      </c>
      <c r="C6" s="2">
        <v>1107</v>
      </c>
      <c r="D6" s="2">
        <v>1</v>
      </c>
      <c r="E6" s="2">
        <v>10</v>
      </c>
      <c r="F6" s="2">
        <v>12</v>
      </c>
      <c r="G6" s="2">
        <v>0</v>
      </c>
      <c r="H6" s="2">
        <v>0.97960000000000003</v>
      </c>
      <c r="I6" s="2">
        <v>8.8000000000000005E-3</v>
      </c>
      <c r="J6" s="2">
        <v>2.0400000000000001E-2</v>
      </c>
    </row>
    <row r="7" spans="1:10" x14ac:dyDescent="0.35">
      <c r="A7" s="2" t="s">
        <v>643</v>
      </c>
      <c r="B7" s="2">
        <v>1130</v>
      </c>
      <c r="C7" s="2">
        <v>1109</v>
      </c>
      <c r="D7" s="2">
        <v>1</v>
      </c>
      <c r="E7" s="2">
        <v>10</v>
      </c>
      <c r="F7" s="2">
        <v>10</v>
      </c>
      <c r="G7" s="2">
        <v>0</v>
      </c>
      <c r="H7" s="2">
        <v>0.98140000000000005</v>
      </c>
      <c r="I7" s="2">
        <v>8.8000000000000005E-3</v>
      </c>
      <c r="J7" s="2">
        <v>1.8599999999999998E-2</v>
      </c>
    </row>
    <row r="8" spans="1:10" x14ac:dyDescent="0.35">
      <c r="A8" s="2" t="s">
        <v>644</v>
      </c>
      <c r="B8" s="2">
        <v>1130</v>
      </c>
      <c r="C8" s="2">
        <v>1104</v>
      </c>
      <c r="D8" s="2">
        <v>3</v>
      </c>
      <c r="E8" s="2">
        <v>9</v>
      </c>
      <c r="F8" s="2">
        <v>14</v>
      </c>
      <c r="G8" s="2">
        <v>0</v>
      </c>
      <c r="H8" s="2">
        <v>0.97699999999999998</v>
      </c>
      <c r="I8" s="2">
        <v>8.0000000000000002E-3</v>
      </c>
      <c r="J8" s="2">
        <v>2.3E-2</v>
      </c>
    </row>
    <row r="9" spans="1:10" x14ac:dyDescent="0.35">
      <c r="A9" s="2" t="s">
        <v>645</v>
      </c>
      <c r="B9" s="2">
        <v>1130</v>
      </c>
      <c r="C9" s="2">
        <v>1107</v>
      </c>
      <c r="D9" s="2">
        <v>1</v>
      </c>
      <c r="E9" s="2">
        <v>6</v>
      </c>
      <c r="F9" s="2">
        <v>16</v>
      </c>
      <c r="G9" s="2">
        <v>0</v>
      </c>
      <c r="H9" s="2">
        <v>0.97960000000000003</v>
      </c>
      <c r="I9" s="2">
        <v>5.3E-3</v>
      </c>
      <c r="J9" s="2">
        <v>2.0400000000000001E-2</v>
      </c>
    </row>
    <row r="10" spans="1:10" x14ac:dyDescent="0.35">
      <c r="A10" s="2" t="s">
        <v>646</v>
      </c>
      <c r="B10" s="2">
        <v>1130</v>
      </c>
      <c r="C10" s="2">
        <v>1105</v>
      </c>
      <c r="D10" s="2">
        <v>1</v>
      </c>
      <c r="E10" s="2">
        <v>7</v>
      </c>
      <c r="F10" s="2">
        <v>17</v>
      </c>
      <c r="G10" s="2">
        <v>0</v>
      </c>
      <c r="H10" s="2">
        <v>0.97789999999999999</v>
      </c>
      <c r="I10" s="2">
        <v>6.1999999999999998E-3</v>
      </c>
      <c r="J10" s="2">
        <v>2.2100000000000002E-2</v>
      </c>
    </row>
    <row r="11" spans="1:10" x14ac:dyDescent="0.35">
      <c r="A11" s="2" t="s">
        <v>647</v>
      </c>
      <c r="B11" s="2">
        <v>1130</v>
      </c>
      <c r="C11" s="2">
        <v>1105</v>
      </c>
      <c r="D11" s="2">
        <v>1</v>
      </c>
      <c r="E11" s="2">
        <v>7</v>
      </c>
      <c r="F11" s="2">
        <v>17</v>
      </c>
      <c r="G11" s="2">
        <v>0</v>
      </c>
      <c r="H11" s="2">
        <v>0.97789999999999999</v>
      </c>
      <c r="I11" s="2">
        <v>6.1999999999999998E-3</v>
      </c>
      <c r="J11" s="2">
        <v>2.2100000000000002E-2</v>
      </c>
    </row>
    <row r="12" spans="1:10" x14ac:dyDescent="0.35">
      <c r="A12" s="2" t="s">
        <v>648</v>
      </c>
      <c r="B12" s="2">
        <v>1130</v>
      </c>
      <c r="C12" s="2">
        <v>1107</v>
      </c>
      <c r="D12" s="2">
        <v>1</v>
      </c>
      <c r="E12" s="2">
        <v>5</v>
      </c>
      <c r="F12" s="2">
        <v>17</v>
      </c>
      <c r="G12" s="2">
        <v>0</v>
      </c>
      <c r="H12" s="2">
        <v>0.97960000000000003</v>
      </c>
      <c r="I12" s="2">
        <v>4.4000000000000003E-3</v>
      </c>
      <c r="J12" s="2">
        <v>2.0400000000000001E-2</v>
      </c>
    </row>
    <row r="13" spans="1:10" x14ac:dyDescent="0.35">
      <c r="A13" s="2" t="s">
        <v>649</v>
      </c>
      <c r="B13" s="2">
        <v>1130</v>
      </c>
      <c r="C13" s="2">
        <v>1103</v>
      </c>
      <c r="D13" s="2">
        <v>3</v>
      </c>
      <c r="E13" s="2">
        <v>6</v>
      </c>
      <c r="F13" s="2">
        <v>18</v>
      </c>
      <c r="G13" s="2">
        <v>0</v>
      </c>
      <c r="H13" s="2">
        <v>0.97609999999999997</v>
      </c>
      <c r="I13" s="2">
        <v>5.3E-3</v>
      </c>
      <c r="J13" s="2">
        <v>2.3900000000000001E-2</v>
      </c>
    </row>
    <row r="14" spans="1:10" x14ac:dyDescent="0.35">
      <c r="A14" s="2" t="s">
        <v>650</v>
      </c>
      <c r="B14" s="2">
        <v>1130</v>
      </c>
      <c r="C14" s="2">
        <v>1111</v>
      </c>
      <c r="D14" s="2">
        <v>2</v>
      </c>
      <c r="E14" s="2">
        <v>6</v>
      </c>
      <c r="F14" s="2">
        <v>11</v>
      </c>
      <c r="G14" s="2">
        <v>0</v>
      </c>
      <c r="H14" s="2">
        <v>0.98319999999999996</v>
      </c>
      <c r="I14" s="2">
        <v>5.3E-3</v>
      </c>
      <c r="J14" s="2">
        <v>1.6799999999999999E-2</v>
      </c>
    </row>
    <row r="15" spans="1:10" x14ac:dyDescent="0.35">
      <c r="A15" s="2" t="s">
        <v>651</v>
      </c>
      <c r="B15" s="2">
        <v>1130</v>
      </c>
      <c r="C15" s="2">
        <v>1107</v>
      </c>
      <c r="D15" s="2">
        <v>2</v>
      </c>
      <c r="E15" s="2">
        <v>5</v>
      </c>
      <c r="F15" s="2">
        <v>16</v>
      </c>
      <c r="G15" s="2">
        <v>0</v>
      </c>
      <c r="H15" s="2">
        <v>0.97960000000000003</v>
      </c>
      <c r="I15" s="2">
        <v>4.4000000000000003E-3</v>
      </c>
      <c r="J15" s="2">
        <v>2.0400000000000001E-2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2" customWidth="1"/>
    <col min="2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638</v>
      </c>
      <c r="B2" s="2">
        <v>1130</v>
      </c>
      <c r="C2" s="2">
        <v>182</v>
      </c>
      <c r="D2" s="2">
        <v>0</v>
      </c>
      <c r="E2" s="2">
        <v>3</v>
      </c>
      <c r="F2" s="2">
        <v>945</v>
      </c>
      <c r="G2" s="2">
        <v>0</v>
      </c>
      <c r="H2" s="2">
        <v>0.16109999999999999</v>
      </c>
      <c r="I2" s="2">
        <v>2.7000000000000001E-3</v>
      </c>
      <c r="J2" s="2">
        <v>0.83889999999999998</v>
      </c>
    </row>
    <row r="3" spans="1:10" x14ac:dyDescent="0.35">
      <c r="A3" s="2" t="s">
        <v>639</v>
      </c>
      <c r="B3" s="2">
        <v>1130</v>
      </c>
      <c r="C3" s="2">
        <v>1102</v>
      </c>
      <c r="D3" s="2">
        <v>0</v>
      </c>
      <c r="E3" s="2">
        <v>9</v>
      </c>
      <c r="F3" s="2">
        <v>19</v>
      </c>
      <c r="G3" s="2">
        <v>0</v>
      </c>
      <c r="H3" s="2">
        <v>0.97519999999999996</v>
      </c>
      <c r="I3" s="2">
        <v>8.0000000000000002E-3</v>
      </c>
      <c r="J3" s="2">
        <v>2.4799999999999999E-2</v>
      </c>
    </row>
    <row r="4" spans="1:10" x14ac:dyDescent="0.35">
      <c r="A4" s="2" t="s">
        <v>640</v>
      </c>
      <c r="B4" s="2">
        <v>1130</v>
      </c>
      <c r="C4" s="2">
        <v>1104</v>
      </c>
      <c r="D4" s="2">
        <v>2</v>
      </c>
      <c r="E4" s="2">
        <v>9</v>
      </c>
      <c r="F4" s="2">
        <v>15</v>
      </c>
      <c r="G4" s="2">
        <v>0</v>
      </c>
      <c r="H4" s="2">
        <v>0.97699999999999998</v>
      </c>
      <c r="I4" s="2">
        <v>8.0000000000000002E-3</v>
      </c>
      <c r="J4" s="2">
        <v>2.3E-2</v>
      </c>
    </row>
    <row r="5" spans="1:10" x14ac:dyDescent="0.35">
      <c r="A5" s="2" t="s">
        <v>641</v>
      </c>
      <c r="B5" s="2">
        <v>1130</v>
      </c>
      <c r="C5" s="2">
        <v>1103</v>
      </c>
      <c r="D5" s="2">
        <v>0</v>
      </c>
      <c r="E5" s="2">
        <v>9</v>
      </c>
      <c r="F5" s="2">
        <v>18</v>
      </c>
      <c r="G5" s="2">
        <v>0</v>
      </c>
      <c r="H5" s="2">
        <v>0.97609999999999997</v>
      </c>
      <c r="I5" s="2">
        <v>8.0000000000000002E-3</v>
      </c>
      <c r="J5" s="2">
        <v>2.3900000000000001E-2</v>
      </c>
    </row>
    <row r="6" spans="1:10" x14ac:dyDescent="0.35">
      <c r="A6" s="2" t="s">
        <v>642</v>
      </c>
      <c r="B6" s="2">
        <v>1130</v>
      </c>
      <c r="C6" s="2">
        <v>1100</v>
      </c>
      <c r="D6" s="2">
        <v>1</v>
      </c>
      <c r="E6" s="2">
        <v>9</v>
      </c>
      <c r="F6" s="2">
        <v>20</v>
      </c>
      <c r="G6" s="2">
        <v>0</v>
      </c>
      <c r="H6" s="2">
        <v>0.97350000000000003</v>
      </c>
      <c r="I6" s="2">
        <v>8.0000000000000002E-3</v>
      </c>
      <c r="J6" s="2">
        <v>2.6499999999999999E-2</v>
      </c>
    </row>
    <row r="7" spans="1:10" x14ac:dyDescent="0.35">
      <c r="A7" s="2" t="s">
        <v>643</v>
      </c>
      <c r="B7" s="2">
        <v>1130</v>
      </c>
      <c r="C7" s="2">
        <v>1102</v>
      </c>
      <c r="D7" s="2">
        <v>1</v>
      </c>
      <c r="E7" s="2">
        <v>8</v>
      </c>
      <c r="F7" s="2">
        <v>19</v>
      </c>
      <c r="G7" s="2">
        <v>0</v>
      </c>
      <c r="H7" s="2">
        <v>0.97519999999999996</v>
      </c>
      <c r="I7" s="2">
        <v>7.1000000000000004E-3</v>
      </c>
      <c r="J7" s="2">
        <v>2.4799999999999999E-2</v>
      </c>
    </row>
    <row r="8" spans="1:10" x14ac:dyDescent="0.35">
      <c r="A8" s="2" t="s">
        <v>644</v>
      </c>
      <c r="B8" s="2">
        <v>1130</v>
      </c>
      <c r="C8" s="2">
        <v>1102</v>
      </c>
      <c r="D8" s="2">
        <v>3</v>
      </c>
      <c r="E8" s="2">
        <v>9</v>
      </c>
      <c r="F8" s="2">
        <v>16</v>
      </c>
      <c r="G8" s="2">
        <v>0</v>
      </c>
      <c r="H8" s="2">
        <v>0.97519999999999996</v>
      </c>
      <c r="I8" s="2">
        <v>8.0000000000000002E-3</v>
      </c>
      <c r="J8" s="2">
        <v>2.4799999999999999E-2</v>
      </c>
    </row>
    <row r="9" spans="1:10" x14ac:dyDescent="0.35">
      <c r="A9" s="2" t="s">
        <v>645</v>
      </c>
      <c r="B9" s="2">
        <v>1130</v>
      </c>
      <c r="C9" s="2">
        <v>1100</v>
      </c>
      <c r="D9" s="2">
        <v>1</v>
      </c>
      <c r="E9" s="2">
        <v>5</v>
      </c>
      <c r="F9" s="2">
        <v>24</v>
      </c>
      <c r="G9" s="2">
        <v>0</v>
      </c>
      <c r="H9" s="2">
        <v>0.97350000000000003</v>
      </c>
      <c r="I9" s="2">
        <v>4.4000000000000003E-3</v>
      </c>
      <c r="J9" s="2">
        <v>2.6499999999999999E-2</v>
      </c>
    </row>
    <row r="10" spans="1:10" x14ac:dyDescent="0.35">
      <c r="A10" s="2" t="s">
        <v>646</v>
      </c>
      <c r="B10" s="2">
        <v>1130</v>
      </c>
      <c r="C10" s="2">
        <v>1098</v>
      </c>
      <c r="D10" s="2">
        <v>1</v>
      </c>
      <c r="E10" s="2">
        <v>5</v>
      </c>
      <c r="F10" s="2">
        <v>26</v>
      </c>
      <c r="G10" s="2">
        <v>0</v>
      </c>
      <c r="H10" s="2">
        <v>0.97170000000000001</v>
      </c>
      <c r="I10" s="2">
        <v>4.4000000000000003E-3</v>
      </c>
      <c r="J10" s="2">
        <v>2.8299999999999999E-2</v>
      </c>
    </row>
    <row r="11" spans="1:10" x14ac:dyDescent="0.35">
      <c r="A11" s="2" t="s">
        <v>647</v>
      </c>
      <c r="B11" s="2">
        <v>1130</v>
      </c>
      <c r="C11" s="2">
        <v>1096</v>
      </c>
      <c r="D11" s="2">
        <v>1</v>
      </c>
      <c r="E11" s="2">
        <v>6</v>
      </c>
      <c r="F11" s="2">
        <v>27</v>
      </c>
      <c r="G11" s="2">
        <v>0</v>
      </c>
      <c r="H11" s="2">
        <v>0.96989999999999998</v>
      </c>
      <c r="I11" s="2">
        <v>5.3E-3</v>
      </c>
      <c r="J11" s="2">
        <v>3.0099999999999998E-2</v>
      </c>
    </row>
    <row r="12" spans="1:10" x14ac:dyDescent="0.35">
      <c r="A12" s="2" t="s">
        <v>648</v>
      </c>
      <c r="B12" s="2">
        <v>1130</v>
      </c>
      <c r="C12" s="2">
        <v>1098</v>
      </c>
      <c r="D12" s="2">
        <v>1</v>
      </c>
      <c r="E12" s="2">
        <v>5</v>
      </c>
      <c r="F12" s="2">
        <v>26</v>
      </c>
      <c r="G12" s="2">
        <v>0</v>
      </c>
      <c r="H12" s="2">
        <v>0.97170000000000001</v>
      </c>
      <c r="I12" s="2">
        <v>4.4000000000000003E-3</v>
      </c>
      <c r="J12" s="2">
        <v>2.8299999999999999E-2</v>
      </c>
    </row>
    <row r="13" spans="1:10" x14ac:dyDescent="0.35">
      <c r="A13" s="2" t="s">
        <v>649</v>
      </c>
      <c r="B13" s="2">
        <v>1130</v>
      </c>
      <c r="C13" s="2">
        <v>1095</v>
      </c>
      <c r="D13" s="2">
        <v>2</v>
      </c>
      <c r="E13" s="2">
        <v>6</v>
      </c>
      <c r="F13" s="2">
        <v>27</v>
      </c>
      <c r="G13" s="2">
        <v>0</v>
      </c>
      <c r="H13" s="2">
        <v>0.96899999999999997</v>
      </c>
      <c r="I13" s="2">
        <v>5.3E-3</v>
      </c>
      <c r="J13" s="2">
        <v>3.1E-2</v>
      </c>
    </row>
    <row r="14" spans="1:10" x14ac:dyDescent="0.35">
      <c r="A14" s="2" t="s">
        <v>650</v>
      </c>
      <c r="B14" s="2">
        <v>1130</v>
      </c>
      <c r="C14" s="2">
        <v>1099</v>
      </c>
      <c r="D14" s="2">
        <v>1</v>
      </c>
      <c r="E14" s="2">
        <v>4</v>
      </c>
      <c r="F14" s="2">
        <v>26</v>
      </c>
      <c r="G14" s="2">
        <v>0</v>
      </c>
      <c r="H14" s="2">
        <v>0.97260000000000002</v>
      </c>
      <c r="I14" s="2">
        <v>3.5000000000000001E-3</v>
      </c>
      <c r="J14" s="2">
        <v>2.7400000000000001E-2</v>
      </c>
    </row>
    <row r="15" spans="1:10" x14ac:dyDescent="0.35">
      <c r="A15" s="2" t="s">
        <v>651</v>
      </c>
      <c r="B15" s="2">
        <v>1130</v>
      </c>
      <c r="C15" s="2">
        <v>1100</v>
      </c>
      <c r="D15" s="2">
        <v>2</v>
      </c>
      <c r="E15" s="2">
        <v>2</v>
      </c>
      <c r="F15" s="2">
        <v>26</v>
      </c>
      <c r="G15" s="2">
        <v>0</v>
      </c>
      <c r="H15" s="2">
        <v>0.97350000000000003</v>
      </c>
      <c r="I15" s="2">
        <v>1.8E-3</v>
      </c>
      <c r="J15" s="2">
        <v>2.6499999999999999E-2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2" customWidth="1"/>
    <col min="2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638</v>
      </c>
      <c r="B2" s="2">
        <v>7856</v>
      </c>
      <c r="C2" s="2">
        <v>6950</v>
      </c>
      <c r="D2" s="2">
        <v>27</v>
      </c>
      <c r="E2" s="2">
        <v>59</v>
      </c>
      <c r="F2" s="2">
        <v>820</v>
      </c>
      <c r="G2" s="2">
        <v>0</v>
      </c>
      <c r="H2" s="2">
        <v>0.88470000000000004</v>
      </c>
      <c r="I2" s="2">
        <v>7.4999999999999997E-3</v>
      </c>
      <c r="J2" s="2">
        <v>0.1153</v>
      </c>
    </row>
    <row r="3" spans="1:10" x14ac:dyDescent="0.35">
      <c r="A3" s="2" t="s">
        <v>639</v>
      </c>
      <c r="B3" s="2">
        <v>7856</v>
      </c>
      <c r="C3" s="2">
        <v>7622</v>
      </c>
      <c r="D3" s="2">
        <v>2</v>
      </c>
      <c r="E3" s="2">
        <v>46</v>
      </c>
      <c r="F3" s="2">
        <v>186</v>
      </c>
      <c r="G3" s="2">
        <v>0</v>
      </c>
      <c r="H3" s="2">
        <v>0.97019999999999995</v>
      </c>
      <c r="I3" s="2">
        <v>5.8999999999999999E-3</v>
      </c>
      <c r="J3" s="2">
        <v>2.98E-2</v>
      </c>
    </row>
    <row r="4" spans="1:10" x14ac:dyDescent="0.35">
      <c r="A4" s="2" t="s">
        <v>640</v>
      </c>
      <c r="B4" s="2">
        <v>7856</v>
      </c>
      <c r="C4" s="2">
        <v>7625</v>
      </c>
      <c r="D4" s="2">
        <v>5</v>
      </c>
      <c r="E4" s="2">
        <v>42</v>
      </c>
      <c r="F4" s="2">
        <v>184</v>
      </c>
      <c r="G4" s="2">
        <v>0</v>
      </c>
      <c r="H4" s="2">
        <v>0.97060000000000002</v>
      </c>
      <c r="I4" s="2">
        <v>5.3E-3</v>
      </c>
      <c r="J4" s="2">
        <v>2.9399999999999999E-2</v>
      </c>
    </row>
    <row r="5" spans="1:10" x14ac:dyDescent="0.35">
      <c r="A5" s="2" t="s">
        <v>641</v>
      </c>
      <c r="B5" s="2">
        <v>7856</v>
      </c>
      <c r="C5" s="2">
        <v>7619</v>
      </c>
      <c r="D5" s="2">
        <v>3</v>
      </c>
      <c r="E5" s="2">
        <v>45</v>
      </c>
      <c r="F5" s="2">
        <v>189</v>
      </c>
      <c r="G5" s="2">
        <v>0</v>
      </c>
      <c r="H5" s="2">
        <v>0.9698</v>
      </c>
      <c r="I5" s="2">
        <v>5.7000000000000002E-3</v>
      </c>
      <c r="J5" s="2">
        <v>3.0200000000000001E-2</v>
      </c>
    </row>
    <row r="6" spans="1:10" x14ac:dyDescent="0.35">
      <c r="A6" s="2" t="s">
        <v>642</v>
      </c>
      <c r="B6" s="2">
        <v>7856</v>
      </c>
      <c r="C6" s="2">
        <v>7608</v>
      </c>
      <c r="D6" s="2">
        <v>6</v>
      </c>
      <c r="E6" s="2">
        <v>38</v>
      </c>
      <c r="F6" s="2">
        <v>204</v>
      </c>
      <c r="G6" s="2">
        <v>0</v>
      </c>
      <c r="H6" s="2">
        <v>0.96840000000000004</v>
      </c>
      <c r="I6" s="2">
        <v>4.7999999999999996E-3</v>
      </c>
      <c r="J6" s="2">
        <v>3.1600000000000003E-2</v>
      </c>
    </row>
    <row r="7" spans="1:10" x14ac:dyDescent="0.35">
      <c r="A7" s="2" t="s">
        <v>643</v>
      </c>
      <c r="B7" s="2">
        <v>7856</v>
      </c>
      <c r="C7" s="2">
        <v>7620</v>
      </c>
      <c r="D7" s="2">
        <v>6</v>
      </c>
      <c r="E7" s="2">
        <v>40</v>
      </c>
      <c r="F7" s="2">
        <v>190</v>
      </c>
      <c r="G7" s="2">
        <v>0</v>
      </c>
      <c r="H7" s="2">
        <v>0.97</v>
      </c>
      <c r="I7" s="2">
        <v>5.1000000000000004E-3</v>
      </c>
      <c r="J7" s="2">
        <v>0.03</v>
      </c>
    </row>
    <row r="8" spans="1:10" x14ac:dyDescent="0.35">
      <c r="A8" s="2" t="s">
        <v>644</v>
      </c>
      <c r="B8" s="2">
        <v>7856</v>
      </c>
      <c r="C8" s="2">
        <v>7583</v>
      </c>
      <c r="D8" s="2">
        <v>7</v>
      </c>
      <c r="E8" s="2">
        <v>33</v>
      </c>
      <c r="F8" s="2">
        <v>233</v>
      </c>
      <c r="G8" s="2">
        <v>0</v>
      </c>
      <c r="H8" s="2">
        <v>0.96519999999999995</v>
      </c>
      <c r="I8" s="2">
        <v>4.1999999999999997E-3</v>
      </c>
      <c r="J8" s="2">
        <v>3.4799999999999998E-2</v>
      </c>
    </row>
    <row r="9" spans="1:10" x14ac:dyDescent="0.35">
      <c r="A9" s="2" t="s">
        <v>645</v>
      </c>
      <c r="B9" s="2">
        <v>7856</v>
      </c>
      <c r="C9" s="2">
        <v>7617</v>
      </c>
      <c r="D9" s="2">
        <v>4</v>
      </c>
      <c r="E9" s="2">
        <v>51</v>
      </c>
      <c r="F9" s="2">
        <v>184</v>
      </c>
      <c r="G9" s="2">
        <v>0</v>
      </c>
      <c r="H9" s="2">
        <v>0.96960000000000002</v>
      </c>
      <c r="I9" s="2">
        <v>6.4999999999999997E-3</v>
      </c>
      <c r="J9" s="2">
        <v>3.04E-2</v>
      </c>
    </row>
    <row r="10" spans="1:10" x14ac:dyDescent="0.35">
      <c r="A10" s="2" t="s">
        <v>646</v>
      </c>
      <c r="B10" s="2">
        <v>7856</v>
      </c>
      <c r="C10" s="2">
        <v>7578</v>
      </c>
      <c r="D10" s="2">
        <v>4</v>
      </c>
      <c r="E10" s="2">
        <v>48</v>
      </c>
      <c r="F10" s="2">
        <v>226</v>
      </c>
      <c r="G10" s="2">
        <v>0</v>
      </c>
      <c r="H10" s="2">
        <v>0.96460000000000001</v>
      </c>
      <c r="I10" s="2">
        <v>6.1000000000000004E-3</v>
      </c>
      <c r="J10" s="2">
        <v>3.5400000000000001E-2</v>
      </c>
    </row>
    <row r="11" spans="1:10" x14ac:dyDescent="0.35">
      <c r="A11" s="2" t="s">
        <v>647</v>
      </c>
      <c r="B11" s="2">
        <v>7856</v>
      </c>
      <c r="C11" s="2">
        <v>7601</v>
      </c>
      <c r="D11" s="2">
        <v>7</v>
      </c>
      <c r="E11" s="2">
        <v>44</v>
      </c>
      <c r="F11" s="2">
        <v>204</v>
      </c>
      <c r="G11" s="2">
        <v>0</v>
      </c>
      <c r="H11" s="2">
        <v>0.96750000000000003</v>
      </c>
      <c r="I11" s="2">
        <v>5.5999999999999999E-3</v>
      </c>
      <c r="J11" s="2">
        <v>3.2500000000000001E-2</v>
      </c>
    </row>
    <row r="12" spans="1:10" x14ac:dyDescent="0.35">
      <c r="A12" s="2" t="s">
        <v>648</v>
      </c>
      <c r="B12" s="2">
        <v>7856</v>
      </c>
      <c r="C12" s="2">
        <v>7612</v>
      </c>
      <c r="D12" s="2">
        <v>3</v>
      </c>
      <c r="E12" s="2">
        <v>54</v>
      </c>
      <c r="F12" s="2">
        <v>187</v>
      </c>
      <c r="G12" s="2">
        <v>0</v>
      </c>
      <c r="H12" s="2">
        <v>0.96889999999999998</v>
      </c>
      <c r="I12" s="2">
        <v>6.8999999999999999E-3</v>
      </c>
      <c r="J12" s="2">
        <v>3.1099999999999999E-2</v>
      </c>
    </row>
    <row r="13" spans="1:10" x14ac:dyDescent="0.35">
      <c r="A13" s="2" t="s">
        <v>649</v>
      </c>
      <c r="B13" s="2">
        <v>7856</v>
      </c>
      <c r="C13" s="2">
        <v>7616</v>
      </c>
      <c r="D13" s="2">
        <v>3</v>
      </c>
      <c r="E13" s="2">
        <v>52</v>
      </c>
      <c r="F13" s="2">
        <v>185</v>
      </c>
      <c r="G13" s="2">
        <v>0</v>
      </c>
      <c r="H13" s="2">
        <v>0.96950000000000003</v>
      </c>
      <c r="I13" s="2">
        <v>6.6E-3</v>
      </c>
      <c r="J13" s="2">
        <v>3.0499999999999999E-2</v>
      </c>
    </row>
    <row r="14" spans="1:10" x14ac:dyDescent="0.35">
      <c r="A14" s="2" t="s">
        <v>650</v>
      </c>
      <c r="B14" s="2">
        <v>7856</v>
      </c>
      <c r="C14" s="2">
        <v>7613</v>
      </c>
      <c r="D14" s="2">
        <v>4</v>
      </c>
      <c r="E14" s="2">
        <v>57</v>
      </c>
      <c r="F14" s="2">
        <v>182</v>
      </c>
      <c r="G14" s="2">
        <v>0</v>
      </c>
      <c r="H14" s="2">
        <v>0.96909999999999996</v>
      </c>
      <c r="I14" s="2">
        <v>7.3000000000000001E-3</v>
      </c>
      <c r="J14" s="2">
        <v>3.09E-2</v>
      </c>
    </row>
    <row r="15" spans="1:10" x14ac:dyDescent="0.35">
      <c r="A15" s="2" t="s">
        <v>651</v>
      </c>
      <c r="B15" s="2">
        <v>7856</v>
      </c>
      <c r="C15" s="2">
        <v>7520</v>
      </c>
      <c r="D15" s="2">
        <v>7</v>
      </c>
      <c r="E15" s="2">
        <v>41</v>
      </c>
      <c r="F15" s="2">
        <v>288</v>
      </c>
      <c r="G15" s="2">
        <v>0</v>
      </c>
      <c r="H15" s="2">
        <v>0.95720000000000005</v>
      </c>
      <c r="I15" s="2">
        <v>5.1999999999999998E-3</v>
      </c>
      <c r="J15" s="2">
        <v>4.2799999999999998E-2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2" customWidth="1"/>
    <col min="2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638</v>
      </c>
      <c r="B2" s="2">
        <v>7856</v>
      </c>
      <c r="C2" s="2">
        <v>1167</v>
      </c>
      <c r="D2" s="2">
        <v>1</v>
      </c>
      <c r="E2" s="2">
        <v>10</v>
      </c>
      <c r="F2" s="2">
        <v>6678</v>
      </c>
      <c r="G2" s="2">
        <v>0</v>
      </c>
      <c r="H2" s="2">
        <v>0.14849999999999999</v>
      </c>
      <c r="I2" s="2">
        <v>1.2999999999999999E-3</v>
      </c>
      <c r="J2" s="2">
        <v>0.85150000000000003</v>
      </c>
    </row>
    <row r="3" spans="1:10" x14ac:dyDescent="0.35">
      <c r="A3" s="2" t="s">
        <v>639</v>
      </c>
      <c r="B3" s="2">
        <v>7856</v>
      </c>
      <c r="C3" s="2">
        <v>7575</v>
      </c>
      <c r="D3" s="2">
        <v>1</v>
      </c>
      <c r="E3" s="2">
        <v>38</v>
      </c>
      <c r="F3" s="2">
        <v>242</v>
      </c>
      <c r="G3" s="2">
        <v>0</v>
      </c>
      <c r="H3" s="2">
        <v>0.96419999999999995</v>
      </c>
      <c r="I3" s="2">
        <v>4.7999999999999996E-3</v>
      </c>
      <c r="J3" s="2">
        <v>3.5799999999999998E-2</v>
      </c>
    </row>
    <row r="4" spans="1:10" x14ac:dyDescent="0.35">
      <c r="A4" s="2" t="s">
        <v>640</v>
      </c>
      <c r="B4" s="2">
        <v>7856</v>
      </c>
      <c r="C4" s="2">
        <v>7589</v>
      </c>
      <c r="D4" s="2">
        <v>1</v>
      </c>
      <c r="E4" s="2">
        <v>36</v>
      </c>
      <c r="F4" s="2">
        <v>230</v>
      </c>
      <c r="G4" s="2">
        <v>0</v>
      </c>
      <c r="H4" s="2">
        <v>0.96599999999999997</v>
      </c>
      <c r="I4" s="2">
        <v>4.5999999999999999E-3</v>
      </c>
      <c r="J4" s="2">
        <v>3.4000000000000002E-2</v>
      </c>
    </row>
    <row r="5" spans="1:10" x14ac:dyDescent="0.35">
      <c r="A5" s="2" t="s">
        <v>641</v>
      </c>
      <c r="B5" s="2">
        <v>7856</v>
      </c>
      <c r="C5" s="2">
        <v>7570</v>
      </c>
      <c r="D5" s="2">
        <v>2</v>
      </c>
      <c r="E5" s="2">
        <v>36</v>
      </c>
      <c r="F5" s="2">
        <v>248</v>
      </c>
      <c r="G5" s="2">
        <v>0</v>
      </c>
      <c r="H5" s="2">
        <v>0.96360000000000001</v>
      </c>
      <c r="I5" s="2">
        <v>4.5999999999999999E-3</v>
      </c>
      <c r="J5" s="2">
        <v>3.6400000000000002E-2</v>
      </c>
    </row>
    <row r="6" spans="1:10" x14ac:dyDescent="0.35">
      <c r="A6" s="2" t="s">
        <v>642</v>
      </c>
      <c r="B6" s="2">
        <v>7856</v>
      </c>
      <c r="C6" s="2">
        <v>7561</v>
      </c>
      <c r="D6" s="2">
        <v>3</v>
      </c>
      <c r="E6" s="2">
        <v>32</v>
      </c>
      <c r="F6" s="2">
        <v>260</v>
      </c>
      <c r="G6" s="2">
        <v>0</v>
      </c>
      <c r="H6" s="2">
        <v>0.96240000000000003</v>
      </c>
      <c r="I6" s="2">
        <v>4.1000000000000003E-3</v>
      </c>
      <c r="J6" s="2">
        <v>3.7600000000000001E-2</v>
      </c>
    </row>
    <row r="7" spans="1:10" x14ac:dyDescent="0.35">
      <c r="A7" s="2" t="s">
        <v>643</v>
      </c>
      <c r="B7" s="2">
        <v>7856</v>
      </c>
      <c r="C7" s="2">
        <v>7568</v>
      </c>
      <c r="D7" s="2">
        <v>3</v>
      </c>
      <c r="E7" s="2">
        <v>30</v>
      </c>
      <c r="F7" s="2">
        <v>255</v>
      </c>
      <c r="G7" s="2">
        <v>0</v>
      </c>
      <c r="H7" s="2">
        <v>0.96330000000000005</v>
      </c>
      <c r="I7" s="2">
        <v>3.8E-3</v>
      </c>
      <c r="J7" s="2">
        <v>3.6700000000000003E-2</v>
      </c>
    </row>
    <row r="8" spans="1:10" x14ac:dyDescent="0.35">
      <c r="A8" s="2" t="s">
        <v>644</v>
      </c>
      <c r="B8" s="2">
        <v>7856</v>
      </c>
      <c r="C8" s="2">
        <v>7548</v>
      </c>
      <c r="D8" s="2">
        <v>3</v>
      </c>
      <c r="E8" s="2">
        <v>28</v>
      </c>
      <c r="F8" s="2">
        <v>277</v>
      </c>
      <c r="G8" s="2">
        <v>0</v>
      </c>
      <c r="H8" s="2">
        <v>0.96079999999999999</v>
      </c>
      <c r="I8" s="2">
        <v>3.5999999999999999E-3</v>
      </c>
      <c r="J8" s="2">
        <v>3.9199999999999999E-2</v>
      </c>
    </row>
    <row r="9" spans="1:10" x14ac:dyDescent="0.35">
      <c r="A9" s="2" t="s">
        <v>645</v>
      </c>
      <c r="B9" s="2">
        <v>7856</v>
      </c>
      <c r="C9" s="2">
        <v>7578</v>
      </c>
      <c r="D9" s="2">
        <v>4</v>
      </c>
      <c r="E9" s="2">
        <v>42</v>
      </c>
      <c r="F9" s="2">
        <v>232</v>
      </c>
      <c r="G9" s="2">
        <v>0</v>
      </c>
      <c r="H9" s="2">
        <v>0.96460000000000001</v>
      </c>
      <c r="I9" s="2">
        <v>5.3E-3</v>
      </c>
      <c r="J9" s="2">
        <v>3.5400000000000001E-2</v>
      </c>
    </row>
    <row r="10" spans="1:10" x14ac:dyDescent="0.35">
      <c r="A10" s="2" t="s">
        <v>646</v>
      </c>
      <c r="B10" s="2">
        <v>7856</v>
      </c>
      <c r="C10" s="2">
        <v>7546</v>
      </c>
      <c r="D10" s="2">
        <v>3</v>
      </c>
      <c r="E10" s="2">
        <v>43</v>
      </c>
      <c r="F10" s="2">
        <v>264</v>
      </c>
      <c r="G10" s="2">
        <v>0</v>
      </c>
      <c r="H10" s="2">
        <v>0.96050000000000002</v>
      </c>
      <c r="I10" s="2">
        <v>5.4999999999999997E-3</v>
      </c>
      <c r="J10" s="2">
        <v>3.95E-2</v>
      </c>
    </row>
    <row r="11" spans="1:10" x14ac:dyDescent="0.35">
      <c r="A11" s="2" t="s">
        <v>647</v>
      </c>
      <c r="B11" s="2">
        <v>7856</v>
      </c>
      <c r="C11" s="2">
        <v>7551</v>
      </c>
      <c r="D11" s="2">
        <v>6</v>
      </c>
      <c r="E11" s="2">
        <v>40</v>
      </c>
      <c r="F11" s="2">
        <v>259</v>
      </c>
      <c r="G11" s="2">
        <v>0</v>
      </c>
      <c r="H11" s="2">
        <v>0.96120000000000005</v>
      </c>
      <c r="I11" s="2">
        <v>5.1000000000000004E-3</v>
      </c>
      <c r="J11" s="2">
        <v>3.8800000000000001E-2</v>
      </c>
    </row>
    <row r="12" spans="1:10" x14ac:dyDescent="0.35">
      <c r="A12" s="2" t="s">
        <v>648</v>
      </c>
      <c r="B12" s="2">
        <v>7856</v>
      </c>
      <c r="C12" s="2">
        <v>7556</v>
      </c>
      <c r="D12" s="2">
        <v>2</v>
      </c>
      <c r="E12" s="2">
        <v>49</v>
      </c>
      <c r="F12" s="2">
        <v>249</v>
      </c>
      <c r="G12" s="2">
        <v>0</v>
      </c>
      <c r="H12" s="2">
        <v>0.96179999999999999</v>
      </c>
      <c r="I12" s="2">
        <v>6.1999999999999998E-3</v>
      </c>
      <c r="J12" s="2">
        <v>3.8199999999999998E-2</v>
      </c>
    </row>
    <row r="13" spans="1:10" x14ac:dyDescent="0.35">
      <c r="A13" s="2" t="s">
        <v>649</v>
      </c>
      <c r="B13" s="2">
        <v>7856</v>
      </c>
      <c r="C13" s="2">
        <v>7575</v>
      </c>
      <c r="D13" s="2">
        <v>3</v>
      </c>
      <c r="E13" s="2">
        <v>47</v>
      </c>
      <c r="F13" s="2">
        <v>231</v>
      </c>
      <c r="G13" s="2">
        <v>0</v>
      </c>
      <c r="H13" s="2">
        <v>0.96419999999999995</v>
      </c>
      <c r="I13" s="2">
        <v>6.0000000000000001E-3</v>
      </c>
      <c r="J13" s="2">
        <v>3.5799999999999998E-2</v>
      </c>
    </row>
    <row r="14" spans="1:10" x14ac:dyDescent="0.35">
      <c r="A14" s="2" t="s">
        <v>650</v>
      </c>
      <c r="B14" s="2">
        <v>7856</v>
      </c>
      <c r="C14" s="2">
        <v>7563</v>
      </c>
      <c r="D14" s="2">
        <v>3</v>
      </c>
      <c r="E14" s="2">
        <v>46</v>
      </c>
      <c r="F14" s="2">
        <v>244</v>
      </c>
      <c r="G14" s="2">
        <v>0</v>
      </c>
      <c r="H14" s="2">
        <v>0.9627</v>
      </c>
      <c r="I14" s="2">
        <v>5.8999999999999999E-3</v>
      </c>
      <c r="J14" s="2">
        <v>3.73E-2</v>
      </c>
    </row>
    <row r="15" spans="1:10" x14ac:dyDescent="0.35">
      <c r="A15" s="2" t="s">
        <v>651</v>
      </c>
      <c r="B15" s="2">
        <v>7856</v>
      </c>
      <c r="C15" s="2">
        <v>7489</v>
      </c>
      <c r="D15" s="2">
        <v>7</v>
      </c>
      <c r="E15" s="2">
        <v>35</v>
      </c>
      <c r="F15" s="2">
        <v>325</v>
      </c>
      <c r="G15" s="2">
        <v>0</v>
      </c>
      <c r="H15" s="2">
        <v>0.95330000000000004</v>
      </c>
      <c r="I15" s="2">
        <v>4.4999999999999997E-3</v>
      </c>
      <c r="J15" s="2">
        <v>4.6699999999999998E-2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B1_SNP_DP3</vt:lpstr>
      <vt:lpstr>B1_SNP_DP10</vt:lpstr>
      <vt:lpstr>B1_Indel_DP3</vt:lpstr>
      <vt:lpstr>B1_Indel_DP10</vt:lpstr>
      <vt:lpstr>B2_SNP_DP3</vt:lpstr>
      <vt:lpstr>B2_SNP_DP10</vt:lpstr>
      <vt:lpstr>B2_Indel_DP3</vt:lpstr>
      <vt:lpstr>B2_Indel_DP10</vt:lpstr>
      <vt:lpstr>LR_SNP_DP3</vt:lpstr>
      <vt:lpstr>LR_SNP_DP10</vt:lpstr>
      <vt:lpstr>LR_Indel_DP3</vt:lpstr>
      <vt:lpstr>LR_Indel_DP10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Rifat, Md Monjurul Islam</cp:lastModifiedBy>
  <dcterms:created xsi:type="dcterms:W3CDTF">2026-04-22T18:17:06Z</dcterms:created>
  <dcterms:modified xsi:type="dcterms:W3CDTF">2026-04-24T16:32:32Z</dcterms:modified>
</cp:coreProperties>
</file>